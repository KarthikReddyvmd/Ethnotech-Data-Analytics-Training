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Day 24\"/>
    </mc:Choice>
  </mc:AlternateContent>
  <bookViews>
    <workbookView xWindow="0" yWindow="0" windowWidth="28800" windowHeight="12180" activeTab="1"/>
  </bookViews>
  <sheets>
    <sheet name="Bayes" sheetId="1" r:id="rId1"/>
    <sheet name="Skewnes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F16" i="2"/>
  <c r="D16" i="2"/>
  <c r="H13" i="2"/>
  <c r="F13" i="2"/>
  <c r="D13" i="2"/>
  <c r="B13" i="2"/>
  <c r="B14" i="2"/>
  <c r="B15" i="2"/>
  <c r="A16" i="1"/>
  <c r="A15" i="1"/>
  <c r="A14" i="1"/>
  <c r="A13" i="1"/>
  <c r="A12" i="1"/>
  <c r="A11" i="1"/>
  <c r="A10" i="1"/>
  <c r="A9" i="1"/>
</calcChain>
</file>

<file path=xl/sharedStrings.xml><?xml version="1.0" encoding="utf-8"?>
<sst xmlns="http://schemas.openxmlformats.org/spreadsheetml/2006/main" count="25" uniqueCount="20">
  <si>
    <t>Healthy People</t>
  </si>
  <si>
    <t>Total People</t>
  </si>
  <si>
    <t>Desease People</t>
  </si>
  <si>
    <t>Test Accuracy</t>
  </si>
  <si>
    <t>False Positive Rate</t>
  </si>
  <si>
    <t xml:space="preserve">Q. If a person test result is positive, what is the probability that the person actually has the disease ? </t>
  </si>
  <si>
    <t>P(Healthy People)</t>
  </si>
  <si>
    <t>P(Desease People)</t>
  </si>
  <si>
    <t>P( Total Positive)</t>
  </si>
  <si>
    <t>P( Total False Negetive)</t>
  </si>
  <si>
    <t>Total Test</t>
  </si>
  <si>
    <t>P(positive people / total test)</t>
  </si>
  <si>
    <t>P(Negetive people / total test)</t>
  </si>
  <si>
    <t>Student Marks</t>
  </si>
  <si>
    <t>Skew</t>
  </si>
  <si>
    <t>Symmetric_Data</t>
  </si>
  <si>
    <t>Positive_Skew_Data</t>
  </si>
  <si>
    <t>Negative_Skew_Data</t>
  </si>
  <si>
    <t>Kurtosis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</si>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</sst>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17" sqref="B17"/>
    </sheetView>
  </sheetViews>
  <sheetFormatPr defaultRowHeight="15" x14ac:dyDescent="0.25"/>
  <cols>
    <col min="1" max="1" width="27.5703125" customWidth="1"/>
    <col min="2" max="2" width="27.7109375" bestFit="1" customWidth="1"/>
  </cols>
  <sheetData>
    <row r="1" spans="1:8" x14ac:dyDescent="0.25">
      <c r="A1" s="2" t="s">
        <v>1</v>
      </c>
      <c r="B1" s="2">
        <v>20000</v>
      </c>
    </row>
    <row r="2" spans="1:8" x14ac:dyDescent="0.25">
      <c r="A2" s="2" t="s">
        <v>2</v>
      </c>
      <c r="B2" s="2">
        <v>1000</v>
      </c>
    </row>
    <row r="3" spans="1:8" x14ac:dyDescent="0.25">
      <c r="A3" s="2" t="s">
        <v>0</v>
      </c>
      <c r="B3" s="2">
        <v>19000</v>
      </c>
    </row>
    <row r="4" spans="1:8" x14ac:dyDescent="0.25">
      <c r="A4" s="2" t="s">
        <v>3</v>
      </c>
      <c r="B4" s="3">
        <v>0.95</v>
      </c>
    </row>
    <row r="5" spans="1:8" x14ac:dyDescent="0.25">
      <c r="A5" s="2" t="s">
        <v>4</v>
      </c>
      <c r="B5" s="3">
        <v>0.05</v>
      </c>
    </row>
    <row r="8" spans="1:8" x14ac:dyDescent="0.25">
      <c r="A8" s="1" t="s">
        <v>5</v>
      </c>
      <c r="B8" s="1"/>
      <c r="C8" s="1"/>
      <c r="D8" s="1"/>
      <c r="E8" s="1"/>
      <c r="F8" s="1"/>
      <c r="G8" s="1"/>
      <c r="H8" s="1"/>
    </row>
    <row r="9" spans="1:8" x14ac:dyDescent="0.25">
      <c r="A9">
        <f>B3/B1</f>
        <v>0.95</v>
      </c>
      <c r="B9" t="s">
        <v>6</v>
      </c>
    </row>
    <row r="10" spans="1:8" x14ac:dyDescent="0.25">
      <c r="A10">
        <f>B2/B1</f>
        <v>0.05</v>
      </c>
      <c r="B10" t="s">
        <v>7</v>
      </c>
    </row>
    <row r="11" spans="1:8" x14ac:dyDescent="0.25">
      <c r="A11">
        <f>B4*A9</f>
        <v>0.90249999999999997</v>
      </c>
      <c r="B11" t="s">
        <v>8</v>
      </c>
    </row>
    <row r="12" spans="1:8" x14ac:dyDescent="0.25">
      <c r="A12">
        <f>B5*A10</f>
        <v>2.5000000000000005E-3</v>
      </c>
      <c r="B12" t="s">
        <v>9</v>
      </c>
    </row>
    <row r="13" spans="1:8" x14ac:dyDescent="0.25">
      <c r="A13">
        <f>A11+A12</f>
        <v>0.90499999999999992</v>
      </c>
      <c r="B13" t="s">
        <v>10</v>
      </c>
    </row>
    <row r="14" spans="1:8" x14ac:dyDescent="0.25">
      <c r="A14">
        <f>A11/A13</f>
        <v>0.99723756906077354</v>
      </c>
      <c r="B14" t="s">
        <v>11</v>
      </c>
    </row>
    <row r="15" spans="1:8" x14ac:dyDescent="0.25">
      <c r="A15">
        <f>A12/A13</f>
        <v>2.7624309392265201E-3</v>
      </c>
      <c r="B15" t="s">
        <v>12</v>
      </c>
    </row>
    <row r="16" spans="1:8" x14ac:dyDescent="0.25">
      <c r="A16">
        <f>A14+A15</f>
        <v>1</v>
      </c>
      <c r="B16" t="s">
        <v>10</v>
      </c>
    </row>
  </sheetData>
  <mergeCells count="1">
    <mergeCell ref="A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O27" sqref="O27"/>
    </sheetView>
  </sheetViews>
  <sheetFormatPr defaultRowHeight="15" x14ac:dyDescent="0.25"/>
  <cols>
    <col min="1" max="1" width="13.85546875" bestFit="1" customWidth="1"/>
    <col min="4" max="4" width="15.5703125" bestFit="1" customWidth="1"/>
    <col min="5" max="5" width="15.5703125" customWidth="1"/>
    <col min="6" max="6" width="19.140625" bestFit="1" customWidth="1"/>
    <col min="7" max="7" width="19.140625" customWidth="1"/>
    <col min="8" max="8" width="20" bestFit="1" customWidth="1"/>
    <col min="9" max="9" width="18.85546875" customWidth="1"/>
  </cols>
  <sheetData>
    <row r="1" spans="1:12" x14ac:dyDescent="0.25">
      <c r="A1" s="2" t="s">
        <v>13</v>
      </c>
      <c r="B1" s="2"/>
      <c r="C1" s="2"/>
      <c r="D1" s="4" t="s">
        <v>15</v>
      </c>
      <c r="E1" s="4" t="s">
        <v>18</v>
      </c>
      <c r="F1" s="4" t="s">
        <v>16</v>
      </c>
      <c r="G1" s="4" t="s">
        <v>18</v>
      </c>
      <c r="H1" s="4" t="s">
        <v>17</v>
      </c>
      <c r="I1" s="6" t="s">
        <v>18</v>
      </c>
      <c r="K1" s="7" t="s">
        <v>19</v>
      </c>
      <c r="L1" s="7" t="s">
        <v>18</v>
      </c>
    </row>
    <row r="2" spans="1:12" x14ac:dyDescent="0.25">
      <c r="A2" s="2">
        <v>80</v>
      </c>
      <c r="B2" s="2"/>
      <c r="C2" s="2"/>
      <c r="D2" s="5">
        <v>10</v>
      </c>
      <c r="E2" s="5">
        <v>-1.2000000000000002</v>
      </c>
      <c r="F2" s="5">
        <v>5</v>
      </c>
      <c r="G2" s="5">
        <v>3.4701406103389392</v>
      </c>
      <c r="H2" s="5">
        <v>40</v>
      </c>
      <c r="I2" s="2">
        <v>-0.56908693562497037</v>
      </c>
      <c r="K2" s="5">
        <v>10</v>
      </c>
      <c r="L2" s="5">
        <v>-1.2000000000000002</v>
      </c>
    </row>
    <row r="3" spans="1:12" x14ac:dyDescent="0.25">
      <c r="A3" s="2">
        <v>70</v>
      </c>
      <c r="B3" s="2"/>
      <c r="C3" s="2"/>
      <c r="D3" s="5">
        <v>12</v>
      </c>
      <c r="E3" s="5">
        <v>-1.2000000000000002</v>
      </c>
      <c r="F3" s="5">
        <v>6</v>
      </c>
      <c r="G3" s="5">
        <v>3.4701406103389392</v>
      </c>
      <c r="H3" s="5">
        <v>38</v>
      </c>
      <c r="I3" s="2">
        <v>-0.56908693562497037</v>
      </c>
      <c r="K3" s="5">
        <v>12</v>
      </c>
      <c r="L3" s="5">
        <v>-1.2000000000000002</v>
      </c>
    </row>
    <row r="4" spans="1:12" x14ac:dyDescent="0.25">
      <c r="A4" s="2">
        <v>85</v>
      </c>
      <c r="B4" s="2"/>
      <c r="C4" s="2"/>
      <c r="D4" s="5">
        <v>14</v>
      </c>
      <c r="E4" s="5">
        <v>-1.2000000000000002</v>
      </c>
      <c r="F4" s="5">
        <v>7</v>
      </c>
      <c r="G4" s="5">
        <v>3.4701406103389392</v>
      </c>
      <c r="H4" s="5">
        <v>36</v>
      </c>
      <c r="I4" s="2">
        <v>-0.56908693562497037</v>
      </c>
      <c r="K4" s="5">
        <v>14</v>
      </c>
      <c r="L4" s="5">
        <v>-1.2000000000000002</v>
      </c>
    </row>
    <row r="5" spans="1:12" x14ac:dyDescent="0.25">
      <c r="A5" s="2">
        <v>78</v>
      </c>
      <c r="B5" s="2"/>
      <c r="C5" s="2"/>
      <c r="D5" s="5">
        <v>16</v>
      </c>
      <c r="E5" s="5">
        <v>-1.2000000000000002</v>
      </c>
      <c r="F5" s="5">
        <v>8</v>
      </c>
      <c r="G5" s="5">
        <v>3.4701406103389392</v>
      </c>
      <c r="H5" s="5">
        <v>34</v>
      </c>
      <c r="I5" s="2">
        <v>-0.56908693562497037</v>
      </c>
      <c r="K5" s="5">
        <v>16</v>
      </c>
      <c r="L5" s="5">
        <v>-1.2000000000000002</v>
      </c>
    </row>
    <row r="6" spans="1:12" x14ac:dyDescent="0.25">
      <c r="A6" s="2">
        <v>95</v>
      </c>
      <c r="B6" s="2"/>
      <c r="C6" s="2"/>
      <c r="D6" s="5">
        <v>18</v>
      </c>
      <c r="E6" s="5">
        <v>-1.2000000000000002</v>
      </c>
      <c r="F6" s="5">
        <v>9</v>
      </c>
      <c r="G6" s="5">
        <v>3.4701406103389392</v>
      </c>
      <c r="H6" s="5">
        <v>32</v>
      </c>
      <c r="I6" s="2">
        <v>-0.56908693562497037</v>
      </c>
      <c r="K6" s="5">
        <v>18</v>
      </c>
      <c r="L6" s="5">
        <v>-1.2000000000000002</v>
      </c>
    </row>
    <row r="7" spans="1:12" x14ac:dyDescent="0.25">
      <c r="A7" s="2">
        <v>99</v>
      </c>
      <c r="B7" s="2"/>
      <c r="C7" s="2"/>
      <c r="D7" s="5">
        <v>20</v>
      </c>
      <c r="E7" s="5">
        <v>-1.2000000000000002</v>
      </c>
      <c r="F7" s="5">
        <v>10</v>
      </c>
      <c r="G7" s="5">
        <v>3.4701406103389392</v>
      </c>
      <c r="H7" s="5">
        <v>30</v>
      </c>
      <c r="I7" s="2">
        <v>-0.56908693562497037</v>
      </c>
      <c r="K7" s="5">
        <v>20</v>
      </c>
      <c r="L7" s="5">
        <v>-1.2000000000000002</v>
      </c>
    </row>
    <row r="8" spans="1:12" x14ac:dyDescent="0.25">
      <c r="A8" s="2">
        <v>89</v>
      </c>
      <c r="B8" s="2"/>
      <c r="C8" s="2"/>
      <c r="D8" s="5">
        <v>22</v>
      </c>
      <c r="E8" s="5">
        <v>-1.2000000000000002</v>
      </c>
      <c r="F8" s="5">
        <v>12</v>
      </c>
      <c r="G8" s="5">
        <v>3.4701406103389392</v>
      </c>
      <c r="H8" s="5">
        <v>28</v>
      </c>
      <c r="I8" s="2">
        <v>-0.56908693562497037</v>
      </c>
      <c r="K8" s="5">
        <v>22</v>
      </c>
      <c r="L8" s="5">
        <v>-1.2000000000000002</v>
      </c>
    </row>
    <row r="9" spans="1:12" x14ac:dyDescent="0.25">
      <c r="A9" s="2">
        <v>88</v>
      </c>
      <c r="B9" s="2"/>
      <c r="C9" s="2"/>
      <c r="D9" s="5">
        <v>24</v>
      </c>
      <c r="E9" s="5">
        <v>-1.2000000000000002</v>
      </c>
      <c r="F9" s="5">
        <v>15</v>
      </c>
      <c r="G9" s="5">
        <v>3.4701406103389392</v>
      </c>
      <c r="H9" s="5">
        <v>20</v>
      </c>
      <c r="I9" s="2">
        <v>-0.56908693562497037</v>
      </c>
      <c r="K9" s="5">
        <v>24</v>
      </c>
      <c r="L9" s="5">
        <v>-1.2000000000000002</v>
      </c>
    </row>
    <row r="10" spans="1:12" x14ac:dyDescent="0.25">
      <c r="A10" s="2">
        <v>75</v>
      </c>
      <c r="B10" s="2"/>
      <c r="C10" s="2"/>
      <c r="D10" s="5">
        <v>26</v>
      </c>
      <c r="E10" s="5">
        <v>-1.2000000000000002</v>
      </c>
      <c r="F10" s="5">
        <v>25</v>
      </c>
      <c r="G10" s="5">
        <v>3.4701406103389392</v>
      </c>
      <c r="H10" s="5">
        <v>15</v>
      </c>
      <c r="I10" s="2">
        <v>-0.56908693562497037</v>
      </c>
      <c r="K10" s="5">
        <v>26</v>
      </c>
      <c r="L10" s="5">
        <v>-1.2000000000000002</v>
      </c>
    </row>
    <row r="11" spans="1:12" x14ac:dyDescent="0.25">
      <c r="A11" s="2"/>
      <c r="B11" s="2"/>
      <c r="C11" s="2"/>
      <c r="D11" s="5">
        <v>28</v>
      </c>
      <c r="E11" s="5">
        <v>-1.2000000000000002</v>
      </c>
      <c r="F11" s="5">
        <v>40</v>
      </c>
      <c r="G11" s="5">
        <v>3.4701406103389392</v>
      </c>
      <c r="H11" s="5">
        <v>10</v>
      </c>
      <c r="I11" s="2">
        <v>-0.56908693562497037</v>
      </c>
      <c r="K11" s="5">
        <v>28</v>
      </c>
      <c r="L11" s="5">
        <v>-1.2000000000000002</v>
      </c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K12" s="5">
        <v>5</v>
      </c>
      <c r="L12" s="5">
        <v>3.4701406103389392</v>
      </c>
    </row>
    <row r="13" spans="1:12" x14ac:dyDescent="0.25">
      <c r="A13" s="2" t="s">
        <v>14</v>
      </c>
      <c r="B13" s="2">
        <f>SKEW(A3:A11)</f>
        <v>-0.11986756167956414</v>
      </c>
      <c r="C13" s="2"/>
      <c r="D13" s="2">
        <f>SKEW(D2:D11)</f>
        <v>0</v>
      </c>
      <c r="E13" s="2"/>
      <c r="F13" s="2">
        <f>SKEW(F2:F11)</f>
        <v>1.909644633999716</v>
      </c>
      <c r="G13" s="2"/>
      <c r="H13" s="2">
        <f>SKEW(H2:H11)</f>
        <v>-0.7848609000597726</v>
      </c>
      <c r="I13" s="2"/>
      <c r="K13" s="5">
        <v>6</v>
      </c>
      <c r="L13" s="5">
        <v>3.4701406103389392</v>
      </c>
    </row>
    <row r="14" spans="1:12" x14ac:dyDescent="0.25">
      <c r="A14" s="2"/>
      <c r="B14" s="2">
        <f>SKEW(A7:A11)</f>
        <v>-0.4519926837157775</v>
      </c>
      <c r="C14" s="2"/>
      <c r="D14" s="2"/>
      <c r="E14" s="2"/>
      <c r="F14" s="2"/>
      <c r="G14" s="2"/>
      <c r="H14" s="2"/>
      <c r="I14" s="2"/>
      <c r="K14" s="5">
        <v>7</v>
      </c>
      <c r="L14" s="5">
        <v>3.4701406103389392</v>
      </c>
    </row>
    <row r="15" spans="1:12" x14ac:dyDescent="0.25">
      <c r="A15" s="2"/>
      <c r="B15" s="2">
        <f>SKEW(A6:A8)</f>
        <v>-0.58558272628137975</v>
      </c>
      <c r="C15" s="2"/>
      <c r="D15" s="2"/>
      <c r="E15" s="2"/>
      <c r="F15" s="2"/>
      <c r="G15" s="2"/>
      <c r="H15" s="2"/>
      <c r="I15" s="2"/>
      <c r="K15" s="5">
        <v>8</v>
      </c>
      <c r="L15" s="5">
        <v>3.4701406103389392</v>
      </c>
    </row>
    <row r="16" spans="1:12" x14ac:dyDescent="0.25">
      <c r="A16" s="2" t="s">
        <v>18</v>
      </c>
      <c r="B16" s="2"/>
      <c r="C16" s="2"/>
      <c r="D16" s="2">
        <f>KURT(D2:D11)</f>
        <v>-1.2000000000000002</v>
      </c>
      <c r="E16" s="2"/>
      <c r="F16" s="2">
        <f>KURT(F2:F11)</f>
        <v>3.4701406103389392</v>
      </c>
      <c r="G16" s="2"/>
      <c r="H16" s="2">
        <f>KURT(H2:H11)</f>
        <v>-0.56908693562497037</v>
      </c>
      <c r="I16" s="2"/>
      <c r="K16" s="5">
        <v>9</v>
      </c>
      <c r="L16" s="5">
        <v>3.4701406103389392</v>
      </c>
    </row>
    <row r="17" spans="11:12" x14ac:dyDescent="0.25">
      <c r="K17" s="5">
        <v>10</v>
      </c>
      <c r="L17" s="5">
        <v>3.4701406103389392</v>
      </c>
    </row>
    <row r="18" spans="11:12" x14ac:dyDescent="0.25">
      <c r="K18" s="5">
        <v>12</v>
      </c>
      <c r="L18" s="5">
        <v>3.4701406103389392</v>
      </c>
    </row>
    <row r="19" spans="11:12" x14ac:dyDescent="0.25">
      <c r="K19" s="5">
        <v>15</v>
      </c>
      <c r="L19" s="5">
        <v>3.4701406103389392</v>
      </c>
    </row>
    <row r="20" spans="11:12" x14ac:dyDescent="0.25">
      <c r="K20" s="5">
        <v>25</v>
      </c>
      <c r="L20" s="5">
        <v>3.4701406103389392</v>
      </c>
    </row>
    <row r="21" spans="11:12" x14ac:dyDescent="0.25">
      <c r="K21" s="5">
        <v>40</v>
      </c>
      <c r="L21" s="5">
        <v>3.4701406103389392</v>
      </c>
    </row>
    <row r="22" spans="11:12" x14ac:dyDescent="0.25">
      <c r="K22" s="5">
        <v>40</v>
      </c>
      <c r="L22" s="2">
        <v>-0.56908693562497037</v>
      </c>
    </row>
    <row r="23" spans="11:12" x14ac:dyDescent="0.25">
      <c r="K23" s="5">
        <v>38</v>
      </c>
      <c r="L23" s="2">
        <v>-0.56908693562497037</v>
      </c>
    </row>
    <row r="24" spans="11:12" x14ac:dyDescent="0.25">
      <c r="K24" s="5">
        <v>36</v>
      </c>
      <c r="L24" s="2">
        <v>-0.56908693562497037</v>
      </c>
    </row>
    <row r="25" spans="11:12" x14ac:dyDescent="0.25">
      <c r="K25" s="5">
        <v>34</v>
      </c>
      <c r="L25" s="2">
        <v>-0.56908693562497037</v>
      </c>
    </row>
    <row r="26" spans="11:12" x14ac:dyDescent="0.25">
      <c r="K26" s="5">
        <v>32</v>
      </c>
      <c r="L26" s="2">
        <v>-0.56908693562497037</v>
      </c>
    </row>
    <row r="27" spans="11:12" x14ac:dyDescent="0.25">
      <c r="K27" s="5">
        <v>30</v>
      </c>
      <c r="L27" s="2">
        <v>-0.56908693562497037</v>
      </c>
    </row>
    <row r="28" spans="11:12" x14ac:dyDescent="0.25">
      <c r="K28" s="5">
        <v>28</v>
      </c>
      <c r="L28" s="2">
        <v>-0.56908693562497037</v>
      </c>
    </row>
    <row r="29" spans="11:12" x14ac:dyDescent="0.25">
      <c r="K29" s="5">
        <v>20</v>
      </c>
      <c r="L29" s="2">
        <v>-0.56908693562497037</v>
      </c>
    </row>
    <row r="30" spans="11:12" x14ac:dyDescent="0.25">
      <c r="K30" s="5">
        <v>15</v>
      </c>
      <c r="L30" s="2">
        <v>-0.56908693562497037</v>
      </c>
    </row>
    <row r="31" spans="11:12" x14ac:dyDescent="0.25">
      <c r="K31" s="5">
        <v>10</v>
      </c>
      <c r="L31" s="2">
        <v>-0.56908693562497037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Bayes</vt:lpstr>
      <vt:lpstr>Skewness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2026-06-25T04:39:16Z</dcterms:created>
  <dcterms:modified xsi:type="dcterms:W3CDTF">2026-06-25T07:14:57Z</dcterms:modified>
</cp:coreProperties>
</file>