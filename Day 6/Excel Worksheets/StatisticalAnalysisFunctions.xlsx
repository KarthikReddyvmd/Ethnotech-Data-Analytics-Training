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6\Excel Worksheets\"/>
    </mc:Choice>
  </mc:AlternateContent>
  <bookViews>
    <workbookView xWindow="0" yWindow="0" windowWidth="28800" windowHeight="12300"/>
  </bookViews>
  <sheets>
    <sheet name="StudentsPerformance" sheetId="1" r:id="rId1"/>
  </sheets>
  <calcPr calcId="0"/>
</workbook>
</file>

<file path=xl/calcChain.xml><?xml version="1.0" encoding="utf-8"?>
<calcChain xmlns="http://schemas.openxmlformats.org/spreadsheetml/2006/main">
  <c r="O54" i="1" l="1"/>
  <c r="O53" i="1"/>
  <c r="O52" i="1"/>
  <c r="O49" i="1"/>
  <c r="O48" i="1"/>
  <c r="O47" i="1"/>
  <c r="L47" i="1"/>
  <c r="L54" i="1"/>
  <c r="L53" i="1"/>
  <c r="L52" i="1"/>
  <c r="L49" i="1"/>
  <c r="L48" i="1"/>
  <c r="L44" i="1"/>
  <c r="L43" i="1"/>
  <c r="L42" i="1"/>
  <c r="L39" i="1"/>
  <c r="L38" i="1"/>
  <c r="L37" i="1"/>
  <c r="L34" i="1"/>
  <c r="L33" i="1"/>
  <c r="L32" i="1"/>
  <c r="L28" i="1"/>
  <c r="L27" i="1"/>
  <c r="L26" i="1"/>
  <c r="L21" i="1"/>
  <c r="L22" i="1"/>
  <c r="L23" i="1"/>
  <c r="L17" i="1"/>
  <c r="L16" i="1"/>
  <c r="L18" i="1"/>
  <c r="L3" i="1"/>
  <c r="L4" i="1"/>
  <c r="L10" i="1"/>
  <c r="L9" i="1"/>
  <c r="L2" i="1"/>
</calcChain>
</file>

<file path=xl/sharedStrings.xml><?xml version="1.0" encoding="utf-8"?>
<sst xmlns="http://schemas.openxmlformats.org/spreadsheetml/2006/main" count="5064" uniqueCount="49">
  <si>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</si>
  <si>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</si>
  <si>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</si>
  <si>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</si>
  <si>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</si>
  <si>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</si>
  <si>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</si>
  <si>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</si>
  <si>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</si>
  <si>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</si>
  <si>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</si>
  <si>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</si>
  <si>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</si>
  <si>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</si>
  <si>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</si>
  <si>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</si>
  <si>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</si>
  <si>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</si>
  <si>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</si>
  <si>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</si>
  <si>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</si>
  <si>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</si>
  <si>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</si>
  <si>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</si>
  <si>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</si>
  <si>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COUNT</t>
  </si>
  <si>
    <t>COUNTIF</t>
  </si>
  <si>
    <t>Male</t>
  </si>
  <si>
    <t>Female</t>
  </si>
  <si>
    <t>Math_Score</t>
  </si>
  <si>
    <t>Reading Score</t>
  </si>
  <si>
    <t>Writing Score</t>
  </si>
  <si>
    <t>Column1</t>
  </si>
  <si>
    <t>Column2</t>
  </si>
  <si>
    <t>MathScore</t>
  </si>
  <si>
    <t>COUNTIFS</t>
  </si>
  <si>
    <t>&gt;90 &amp; &lt;100</t>
  </si>
  <si>
    <t>&gt;70 &amp; &lt;90</t>
  </si>
  <si>
    <t>&lt;70</t>
  </si>
  <si>
    <t>ReadingScore</t>
  </si>
  <si>
    <t>WritingScore</t>
  </si>
  <si>
    <t>Mean</t>
  </si>
  <si>
    <t>Mode</t>
  </si>
  <si>
    <t>Median</t>
  </si>
  <si>
    <t>Varience</t>
  </si>
  <si>
    <t>StandardDev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</si>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</sst>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K1:L4" totalsRowShown="0">
  <autoFilter ref="K1:L4"/>
  <tableColumns count="2">
    <tableColumn id="1" name="COUNT"/>
    <tableColumn id="2" name="Column1">
      <calculatedColumnFormula>COUNT(F:F)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K6:L10" totalsRowShown="0">
  <autoFilter ref="K6:L10"/>
  <tableColumns count="2">
    <tableColumn id="1" name="Column1"/>
    <tableColumn id="2" name="Column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12:L28" totalsRowShown="0">
  <autoFilter ref="K12:L28"/>
  <tableColumns count="2">
    <tableColumn id="1" name="Column1"/>
    <tableColumn id="2" name="Column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K30:O54" totalsRowShown="0">
  <autoFilter ref="K30:O54"/>
  <tableColumns count="5">
    <tableColumn id="1" name="Column1"/>
    <tableColumn id="2" name="Column2"/>
    <tableColumn id="3" name="Column3"/>
    <tableColumn id="4" name="Column4"/>
    <tableColumn id="5" name="Column5" dataDxfId="0">
      <calculatedColumnFormula>_xlfn.VAR.S(F:F)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>
      <selection activeCell="N2" sqref="N2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25.28515625" bestFit="1" customWidth="1"/>
    <col min="4" max="4" width="12.85546875" bestFit="1" customWidth="1"/>
    <col min="5" max="5" width="22" bestFit="1" customWidth="1"/>
    <col min="6" max="6" width="10.7109375" bestFit="1" customWidth="1"/>
    <col min="7" max="7" width="12.85546875" bestFit="1" customWidth="1"/>
    <col min="8" max="8" width="12.42578125" bestFit="1" customWidth="1"/>
    <col min="11" max="11" width="13.5703125" bestFit="1" customWidth="1"/>
    <col min="12" max="12" width="11" customWidth="1"/>
    <col min="14" max="14" width="13.140625" bestFit="1" customWidth="1"/>
    <col min="15" max="15" width="1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25</v>
      </c>
      <c r="L1" t="s">
        <v>32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K2" t="s">
        <v>29</v>
      </c>
      <c r="L2">
        <f>COUNT(F:F)</f>
        <v>1000</v>
      </c>
    </row>
    <row r="3" spans="1:12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K3" t="s">
        <v>30</v>
      </c>
      <c r="L3">
        <f>COUNT(F:F)</f>
        <v>1000</v>
      </c>
    </row>
    <row r="4" spans="1:12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K4" t="s">
        <v>31</v>
      </c>
      <c r="L4">
        <f>COUNT(F:F)</f>
        <v>1000</v>
      </c>
    </row>
    <row r="5" spans="1:12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12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K6" t="s">
        <v>32</v>
      </c>
      <c r="L6" t="s">
        <v>33</v>
      </c>
    </row>
    <row r="7" spans="1:12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K7" t="s">
        <v>26</v>
      </c>
    </row>
    <row r="8" spans="1:12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12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K9" t="s">
        <v>27</v>
      </c>
      <c r="L9">
        <f>COUNTIF(A:A,"male")</f>
        <v>482</v>
      </c>
    </row>
    <row r="10" spans="1:12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K10" t="s">
        <v>28</v>
      </c>
      <c r="L10">
        <f>COUNTIF(A:A,"female")</f>
        <v>518</v>
      </c>
    </row>
    <row r="11" spans="1:12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12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K12" t="s">
        <v>32</v>
      </c>
      <c r="L12" t="s">
        <v>33</v>
      </c>
    </row>
    <row r="13" spans="1:12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K13" t="s">
        <v>35</v>
      </c>
    </row>
    <row r="14" spans="1:12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12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K15" t="s">
        <v>34</v>
      </c>
    </row>
    <row r="16" spans="1:12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K16" t="s">
        <v>36</v>
      </c>
      <c r="L16">
        <f>COUNTIFS(F:F,"&gt;=90",F:F,"&lt;=100")</f>
        <v>58</v>
      </c>
    </row>
    <row r="17" spans="1:15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K17" t="s">
        <v>37</v>
      </c>
      <c r="L17">
        <f>COUNTIFS(F:F,"&gt;=70",F:F,"&lt;=90")</f>
        <v>359</v>
      </c>
    </row>
    <row r="18" spans="1:15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K18" t="s">
        <v>38</v>
      </c>
      <c r="L18">
        <f>COUNTIF(F:F,"&lt;=70")</f>
        <v>609</v>
      </c>
    </row>
    <row r="19" spans="1:15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15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K20" t="s">
        <v>39</v>
      </c>
    </row>
    <row r="21" spans="1:15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K21" t="s">
        <v>36</v>
      </c>
      <c r="L21">
        <f>COUNTIFS(G:G,"&gt;=90",G:G,"&lt;=100")</f>
        <v>79</v>
      </c>
    </row>
    <row r="22" spans="1:15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K22" t="s">
        <v>37</v>
      </c>
      <c r="L22">
        <f>COUNTIFS(G:G,"&gt;=70",G:G,"&lt;=90")</f>
        <v>451</v>
      </c>
    </row>
    <row r="23" spans="1:15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K23" t="s">
        <v>38</v>
      </c>
      <c r="L23">
        <f>COUNTIFS(G:G,"&gt;=70",G:G,"&lt;=90")</f>
        <v>451</v>
      </c>
    </row>
    <row r="24" spans="1:15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15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K25" t="s">
        <v>40</v>
      </c>
    </row>
    <row r="26" spans="1:15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K26" t="s">
        <v>36</v>
      </c>
      <c r="L26">
        <f>COUNTIFS(H:H,"&gt;=90",H:H,"&lt;=100")</f>
        <v>78</v>
      </c>
    </row>
    <row r="27" spans="1:15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K27" t="s">
        <v>37</v>
      </c>
      <c r="L27">
        <f>COUNTIFS(H:H,"&gt;=70",H:H,"&lt;=90")</f>
        <v>421</v>
      </c>
    </row>
    <row r="28" spans="1:15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K28" t="s">
        <v>38</v>
      </c>
      <c r="L28">
        <f>COUNTIFS(H:H,"&gt;=70",H:H,"&lt;=90")</f>
        <v>421</v>
      </c>
    </row>
    <row r="29" spans="1:15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15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K30" t="s">
        <v>32</v>
      </c>
      <c r="L30" t="s">
        <v>33</v>
      </c>
      <c r="M30" t="s">
        <v>46</v>
      </c>
      <c r="N30" t="s">
        <v>47</v>
      </c>
      <c r="O30" t="s">
        <v>48</v>
      </c>
    </row>
    <row r="31" spans="1:15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K31" t="s">
        <v>41</v>
      </c>
    </row>
    <row r="32" spans="1:15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K32" t="s">
        <v>34</v>
      </c>
      <c r="L32">
        <f>AVERAGE(F:F)</f>
        <v>66.088999999999999</v>
      </c>
    </row>
    <row r="33" spans="1:15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K33" t="s">
        <v>39</v>
      </c>
      <c r="L33">
        <f>AVERAGE(G:G)</f>
        <v>69.168999999999997</v>
      </c>
    </row>
    <row r="34" spans="1:15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K34" t="s">
        <v>40</v>
      </c>
      <c r="L34">
        <f>AVERAGE(H:H)</f>
        <v>68.054000000000002</v>
      </c>
    </row>
    <row r="35" spans="1:15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15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K36" t="s">
        <v>42</v>
      </c>
    </row>
    <row r="37" spans="1:15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K37" t="s">
        <v>34</v>
      </c>
      <c r="L37">
        <f>MODE(F:F)</f>
        <v>65</v>
      </c>
    </row>
    <row r="38" spans="1:15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K38" t="s">
        <v>39</v>
      </c>
      <c r="L38">
        <f>MODE(G:G)</f>
        <v>72</v>
      </c>
    </row>
    <row r="39" spans="1:15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K39" t="s">
        <v>40</v>
      </c>
      <c r="L39">
        <f>_xlfn.MODE.MULT(H:H)</f>
        <v>74</v>
      </c>
    </row>
    <row r="40" spans="1:15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15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K41" t="s">
        <v>43</v>
      </c>
    </row>
    <row r="42" spans="1:15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K42" t="s">
        <v>34</v>
      </c>
      <c r="L42">
        <f>MEDIAN(F:F)</f>
        <v>66</v>
      </c>
    </row>
    <row r="43" spans="1:15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K43" t="s">
        <v>39</v>
      </c>
      <c r="L43">
        <f>MEDIAN(G:G)</f>
        <v>70</v>
      </c>
    </row>
    <row r="44" spans="1:15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K44" t="s">
        <v>40</v>
      </c>
      <c r="L44">
        <f>MEDIAN(H:H)</f>
        <v>69</v>
      </c>
    </row>
    <row r="45" spans="1:15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15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K46" t="s">
        <v>44</v>
      </c>
    </row>
    <row r="47" spans="1:15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K47" t="s">
        <v>34</v>
      </c>
      <c r="L47">
        <f>_xlfn.VAR.P(F:F)</f>
        <v>229.68907899999999</v>
      </c>
      <c r="N47" t="s">
        <v>34</v>
      </c>
      <c r="O47">
        <f t="shared" ref="O31:O62" si="0">_xlfn.VAR.S(F:F)</f>
        <v>229.91899799799791</v>
      </c>
    </row>
    <row r="48" spans="1:15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K48" t="s">
        <v>39</v>
      </c>
      <c r="L48">
        <f>_xlfn.VAR.P(G:G)</f>
        <v>212.952439</v>
      </c>
      <c r="N48" t="s">
        <v>39</v>
      </c>
      <c r="O48">
        <f>_xlfn.VAR.S(G:G)</f>
        <v>213.16560460460485</v>
      </c>
    </row>
    <row r="49" spans="1:15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K49" t="s">
        <v>40</v>
      </c>
      <c r="L49">
        <f>_xlfn.VAR.P(H:H)</f>
        <v>230.67708400000001</v>
      </c>
      <c r="N49" t="s">
        <v>40</v>
      </c>
      <c r="O49">
        <f>_xlfn.VAR.S(H:H)</f>
        <v>230.90799199199179</v>
      </c>
    </row>
    <row r="50" spans="1:15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15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K51" t="s">
        <v>45</v>
      </c>
    </row>
    <row r="52" spans="1:15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K52" t="s">
        <v>34</v>
      </c>
      <c r="L52">
        <f>_xlfn.STDEV.P(F:F)</f>
        <v>15.155496659628149</v>
      </c>
      <c r="N52" t="s">
        <v>34</v>
      </c>
      <c r="O52">
        <f>_xlfn.STDEV.S(F:F)</f>
        <v>15.163080096009448</v>
      </c>
    </row>
    <row r="53" spans="1:15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K53" t="s">
        <v>39</v>
      </c>
      <c r="L53">
        <f>_xlfn.STDEV.P(G:G)</f>
        <v>14.592890015346514</v>
      </c>
      <c r="N53" t="s">
        <v>39</v>
      </c>
      <c r="O53">
        <f>_xlfn.STDEV.S(G:G)</f>
        <v>14.600191937252225</v>
      </c>
    </row>
    <row r="54" spans="1:15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K54" t="s">
        <v>40</v>
      </c>
      <c r="L54">
        <f>_xlfn.STDEV.P(H:H)</f>
        <v>15.188057281956768</v>
      </c>
      <c r="N54" t="s">
        <v>40</v>
      </c>
      <c r="O54">
        <f>_xlfn.STDEV.S(H:H)</f>
        <v>15.195657010869645</v>
      </c>
    </row>
    <row r="55" spans="1:15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15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15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15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15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15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15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15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15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15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2026-06-02T09:02:01Z</dcterms:created>
  <dcterms:modified xsi:type="dcterms:W3CDTF">2026-06-02T09:50:38Z</dcterms:modified>
</cp:coreProperties>
</file>