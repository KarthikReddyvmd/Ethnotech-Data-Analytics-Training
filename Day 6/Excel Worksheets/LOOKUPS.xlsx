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A\Day 6\Excel Worksheets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H25" i="1" l="1"/>
  <c r="R15" i="1"/>
  <c r="R14" i="1"/>
  <c r="R13" i="1"/>
  <c r="R12" i="1"/>
  <c r="R11" i="1"/>
  <c r="O28" i="1"/>
  <c r="O27" i="1"/>
  <c r="O26" i="1"/>
  <c r="O25" i="1"/>
  <c r="K29" i="1"/>
  <c r="K28" i="1"/>
  <c r="K27" i="1"/>
  <c r="K26" i="1"/>
  <c r="K25" i="1"/>
  <c r="O12" i="1"/>
  <c r="O14" i="1"/>
  <c r="O13" i="1"/>
  <c r="O11" i="1"/>
  <c r="H28" i="1"/>
  <c r="H27" i="1"/>
  <c r="H26" i="1"/>
</calcChain>
</file>

<file path=xl/sharedStrings.xml><?xml version="1.0" encoding="utf-8"?>
<sst xmlns="http://schemas.openxmlformats.org/spreadsheetml/2006/main" count="1154" uniqueCount="527">
  <si>
    <t>ProductID</t>
  </si>
  <si>
    <t>ProductName</t>
  </si>
  <si>
    <t>QuantityInStock</t>
  </si>
  <si>
    <t>ReorderPoint</t>
  </si>
  <si>
    <t>UnitCost</t>
  </si>
  <si>
    <t>P98420</t>
  </si>
  <si>
    <t>P70372</t>
  </si>
  <si>
    <t>P54851</t>
  </si>
  <si>
    <t>P89338</t>
  </si>
  <si>
    <t>P76449</t>
  </si>
  <si>
    <t>P43919</t>
  </si>
  <si>
    <t>P49408</t>
  </si>
  <si>
    <t>P89124</t>
  </si>
  <si>
    <t>P47947</t>
  </si>
  <si>
    <t>P35719</t>
  </si>
  <si>
    <t>P26057</t>
  </si>
  <si>
    <t>P62279</t>
  </si>
  <si>
    <t>P77428</t>
  </si>
  <si>
    <t>P86485</t>
  </si>
  <si>
    <t>P60361</t>
  </si>
  <si>
    <t>P65633</t>
  </si>
  <si>
    <t>P17585</t>
  </si>
  <si>
    <t>P71068</t>
  </si>
  <si>
    <t>P29554</t>
  </si>
  <si>
    <t>P99352</t>
  </si>
  <si>
    <t>P81659</t>
  </si>
  <si>
    <t>P78321</t>
  </si>
  <si>
    <t>P53762</t>
  </si>
  <si>
    <t>P57768</t>
  </si>
  <si>
    <t>P36411</t>
  </si>
  <si>
    <t>P50133</t>
  </si>
  <si>
    <t>P99281</t>
  </si>
  <si>
    <t>P69659</t>
  </si>
  <si>
    <t>P21237</t>
  </si>
  <si>
    <t>P20593</t>
  </si>
  <si>
    <t>P89248</t>
  </si>
  <si>
    <t>P72326</t>
  </si>
  <si>
    <t>P60678</t>
  </si>
  <si>
    <t>P82988</t>
  </si>
  <si>
    <t>P96720</t>
  </si>
  <si>
    <t>P81820</t>
  </si>
  <si>
    <t>P21469</t>
  </si>
  <si>
    <t>P98261</t>
  </si>
  <si>
    <t>P96491</t>
  </si>
  <si>
    <t>P53581</t>
  </si>
  <si>
    <t>P61869</t>
  </si>
  <si>
    <t>P13049</t>
  </si>
  <si>
    <t>P53476</t>
  </si>
  <si>
    <t>P21452</t>
  </si>
  <si>
    <t>P22282</t>
  </si>
  <si>
    <t>P90077</t>
  </si>
  <si>
    <t>P66075</t>
  </si>
  <si>
    <t>P28229</t>
  </si>
  <si>
    <t>P30189</t>
  </si>
  <si>
    <t>P40753</t>
  </si>
  <si>
    <t>P79024</t>
  </si>
  <si>
    <t>P64097</t>
  </si>
  <si>
    <t>P91290</t>
  </si>
  <si>
    <t>P89679</t>
  </si>
  <si>
    <t>P97579</t>
  </si>
  <si>
    <t>P86569</t>
  </si>
  <si>
    <t>P36228</t>
  </si>
  <si>
    <t>P59481</t>
  </si>
  <si>
    <t>P95465</t>
  </si>
  <si>
    <t>P15363</t>
  </si>
  <si>
    <t>P93982</t>
  </si>
  <si>
    <t>P89709</t>
  </si>
  <si>
    <t>P18377</t>
  </si>
  <si>
    <t>P63795</t>
  </si>
  <si>
    <t>P94159</t>
  </si>
  <si>
    <t>P80935</t>
  </si>
  <si>
    <t>P14492</t>
  </si>
  <si>
    <t>P90228</t>
  </si>
  <si>
    <t>P28816</t>
  </si>
  <si>
    <t>P42064</t>
  </si>
  <si>
    <t>P83338</t>
  </si>
  <si>
    <t>P23615</t>
  </si>
  <si>
    <t>P61681</t>
  </si>
  <si>
    <t>P77280</t>
  </si>
  <si>
    <t>P87710</t>
  </si>
  <si>
    <t>P51358</t>
  </si>
  <si>
    <t>P50938</t>
  </si>
  <si>
    <t>P61586</t>
  </si>
  <si>
    <t>P86149</t>
  </si>
  <si>
    <t>P99637</t>
  </si>
  <si>
    <t>P14743</t>
  </si>
  <si>
    <t>P83525</t>
  </si>
  <si>
    <t>P29383</t>
  </si>
  <si>
    <t>P99435</t>
  </si>
  <si>
    <t>P16521</t>
  </si>
  <si>
    <t>P76863</t>
  </si>
  <si>
    <t>P17914</t>
  </si>
  <si>
    <t>P85266</t>
  </si>
  <si>
    <t>P37819</t>
  </si>
  <si>
    <t>P74661</t>
  </si>
  <si>
    <t>P69562</t>
  </si>
  <si>
    <t>P55946</t>
  </si>
  <si>
    <t>P15639</t>
  </si>
  <si>
    <t>P50983</t>
  </si>
  <si>
    <t>P93086</t>
  </si>
  <si>
    <t>P14686</t>
  </si>
  <si>
    <t>P47358</t>
  </si>
  <si>
    <t>P37592</t>
  </si>
  <si>
    <t>P73701</t>
  </si>
  <si>
    <t>P24111</t>
  </si>
  <si>
    <t>P66581</t>
  </si>
  <si>
    <t>P55379</t>
  </si>
  <si>
    <t>P12102</t>
  </si>
  <si>
    <t>P42098</t>
  </si>
  <si>
    <t>P39669</t>
  </si>
  <si>
    <t>P19114</t>
  </si>
  <si>
    <t>P98289</t>
  </si>
  <si>
    <t>P91786</t>
  </si>
  <si>
    <t>P53506</t>
  </si>
  <si>
    <t>P98350</t>
  </si>
  <si>
    <t>P22357</t>
  </si>
  <si>
    <t>P51338</t>
  </si>
  <si>
    <t>P19078</t>
  </si>
  <si>
    <t>P33839</t>
  </si>
  <si>
    <t>P50895</t>
  </si>
  <si>
    <t>P10068</t>
  </si>
  <si>
    <t>P27939</t>
  </si>
  <si>
    <t>P57921</t>
  </si>
  <si>
    <t>P65630</t>
  </si>
  <si>
    <t>P36001</t>
  </si>
  <si>
    <t>P27815</t>
  </si>
  <si>
    <t>P46132</t>
  </si>
  <si>
    <t>P70743</t>
  </si>
  <si>
    <t>P63170</t>
  </si>
  <si>
    <t>P88723</t>
  </si>
  <si>
    <t>P84803</t>
  </si>
  <si>
    <t>P11146</t>
  </si>
  <si>
    <t>P96823</t>
  </si>
  <si>
    <t>P97323</t>
  </si>
  <si>
    <t>P55271</t>
  </si>
  <si>
    <t>P93459</t>
  </si>
  <si>
    <t>P26184</t>
  </si>
  <si>
    <t>P19396</t>
  </si>
  <si>
    <t>P24625</t>
  </si>
  <si>
    <t>P97658</t>
  </si>
  <si>
    <t>P58962</t>
  </si>
  <si>
    <t>P11634</t>
  </si>
  <si>
    <t>P13694</t>
  </si>
  <si>
    <t>P24284</t>
  </si>
  <si>
    <t>P86691</t>
  </si>
  <si>
    <t>P10317</t>
  </si>
  <si>
    <t>P55359</t>
  </si>
  <si>
    <t>P12822</t>
  </si>
  <si>
    <t>P30386</t>
  </si>
  <si>
    <t>P60442</t>
  </si>
  <si>
    <t>P18012</t>
  </si>
  <si>
    <t>P33125</t>
  </si>
  <si>
    <t>P66338</t>
  </si>
  <si>
    <t>P74881</t>
  </si>
  <si>
    <t>P68854</t>
  </si>
  <si>
    <t>P12805</t>
  </si>
  <si>
    <t>P68890</t>
  </si>
  <si>
    <t>P55573</t>
  </si>
  <si>
    <t>P28941</t>
  </si>
  <si>
    <t>P74048</t>
  </si>
  <si>
    <t>P21837</t>
  </si>
  <si>
    <t>P95262</t>
  </si>
  <si>
    <t>P46566</t>
  </si>
  <si>
    <t>P18575</t>
  </si>
  <si>
    <t>P27056</t>
  </si>
  <si>
    <t>P38066</t>
  </si>
  <si>
    <t>P50748</t>
  </si>
  <si>
    <t>P73854</t>
  </si>
  <si>
    <t>P59539</t>
  </si>
  <si>
    <t>P55993</t>
  </si>
  <si>
    <t>P68807</t>
  </si>
  <si>
    <t>P92524</t>
  </si>
  <si>
    <t>P75730</t>
  </si>
  <si>
    <t>P15958</t>
  </si>
  <si>
    <t>P94619</t>
  </si>
  <si>
    <t>P76573</t>
  </si>
  <si>
    <t>P47220</t>
  </si>
  <si>
    <t>P15172</t>
  </si>
  <si>
    <t>P36437</t>
  </si>
  <si>
    <t>P42339</t>
  </si>
  <si>
    <t>P38296</t>
  </si>
  <si>
    <t>P85297</t>
  </si>
  <si>
    <t>P17348</t>
  </si>
  <si>
    <t>P87759</t>
  </si>
  <si>
    <t>P95243</t>
  </si>
  <si>
    <t>P78852</t>
  </si>
  <si>
    <t>P30445</t>
  </si>
  <si>
    <t>P61382</t>
  </si>
  <si>
    <t>P62508</t>
  </si>
  <si>
    <t>P96499</t>
  </si>
  <si>
    <t>P95434</t>
  </si>
  <si>
    <t>P56160</t>
  </si>
  <si>
    <t>P98900</t>
  </si>
  <si>
    <t>P41511</t>
  </si>
  <si>
    <t>P33102</t>
  </si>
  <si>
    <t>P36089</t>
  </si>
  <si>
    <t>P15486</t>
  </si>
  <si>
    <t>P96416</t>
  </si>
  <si>
    <t>P94252</t>
  </si>
  <si>
    <t>P27449</t>
  </si>
  <si>
    <t>P25365</t>
  </si>
  <si>
    <t>P76322</t>
  </si>
  <si>
    <t>P98377</t>
  </si>
  <si>
    <t>P19724</t>
  </si>
  <si>
    <t>P81367</t>
  </si>
  <si>
    <t>P24953</t>
  </si>
  <si>
    <t>P90536</t>
  </si>
  <si>
    <t>P88190</t>
  </si>
  <si>
    <t>P98352</t>
  </si>
  <si>
    <t>P88713</t>
  </si>
  <si>
    <t>P72312</t>
  </si>
  <si>
    <t>P29788</t>
  </si>
  <si>
    <t>P15158</t>
  </si>
  <si>
    <t>P28444</t>
  </si>
  <si>
    <t>P11106</t>
  </si>
  <si>
    <t>P82832</t>
  </si>
  <si>
    <t>P52198</t>
  </si>
  <si>
    <t>P43155</t>
  </si>
  <si>
    <t>P88490</t>
  </si>
  <si>
    <t>P62623</t>
  </si>
  <si>
    <t>P94534</t>
  </si>
  <si>
    <t>P45431</t>
  </si>
  <si>
    <t>P84317</t>
  </si>
  <si>
    <t>P86050</t>
  </si>
  <si>
    <t>P53962</t>
  </si>
  <si>
    <t>P63244</t>
  </si>
  <si>
    <t>P89769</t>
  </si>
  <si>
    <t>P40712</t>
  </si>
  <si>
    <t>P49626</t>
  </si>
  <si>
    <t>P76119</t>
  </si>
  <si>
    <t>P83188</t>
  </si>
  <si>
    <t>P65949</t>
  </si>
  <si>
    <t>P48032</t>
  </si>
  <si>
    <t>P34624</t>
  </si>
  <si>
    <t>P90515</t>
  </si>
  <si>
    <t>P87946</t>
  </si>
  <si>
    <t>P67685</t>
  </si>
  <si>
    <t>P81701</t>
  </si>
  <si>
    <t>P51313</t>
  </si>
  <si>
    <t>P20201</t>
  </si>
  <si>
    <t>P42764</t>
  </si>
  <si>
    <t>P24215</t>
  </si>
  <si>
    <t>P77441</t>
  </si>
  <si>
    <t>P83765</t>
  </si>
  <si>
    <t>P45950</t>
  </si>
  <si>
    <t>P44982</t>
  </si>
  <si>
    <t>P93320</t>
  </si>
  <si>
    <t>P26011</t>
  </si>
  <si>
    <t>P84518</t>
  </si>
  <si>
    <t>P65254</t>
  </si>
  <si>
    <t>P88164</t>
  </si>
  <si>
    <t>P83690</t>
  </si>
  <si>
    <t>P30093</t>
  </si>
  <si>
    <t>P48697</t>
  </si>
  <si>
    <t>P39242</t>
  </si>
  <si>
    <t>P36099</t>
  </si>
  <si>
    <t>P22765</t>
  </si>
  <si>
    <t>P12921</t>
  </si>
  <si>
    <t>P48568</t>
  </si>
  <si>
    <t>P92241</t>
  </si>
  <si>
    <t>P15267</t>
  </si>
  <si>
    <t>P10033</t>
  </si>
  <si>
    <t>P30703</t>
  </si>
  <si>
    <t>P19895</t>
  </si>
  <si>
    <t>P81493</t>
  </si>
  <si>
    <t>P53197</t>
  </si>
  <si>
    <t>P31415</t>
  </si>
  <si>
    <t>P49081</t>
  </si>
  <si>
    <t>P72372</t>
  </si>
  <si>
    <t>P62512</t>
  </si>
  <si>
    <t>P91587</t>
  </si>
  <si>
    <t>P38209</t>
  </si>
  <si>
    <t>P92342</t>
  </si>
  <si>
    <t>P71381</t>
  </si>
  <si>
    <t>P32116</t>
  </si>
  <si>
    <t>P46384</t>
  </si>
  <si>
    <t>P43321</t>
  </si>
  <si>
    <t>P54593</t>
  </si>
  <si>
    <t>P50154</t>
  </si>
  <si>
    <t>P92355</t>
  </si>
  <si>
    <t>P10151</t>
  </si>
  <si>
    <t>P53270</t>
  </si>
  <si>
    <t>P81815</t>
  </si>
  <si>
    <t>P60725</t>
  </si>
  <si>
    <t>P38737</t>
  </si>
  <si>
    <t>P60732</t>
  </si>
  <si>
    <t>P42012</t>
  </si>
  <si>
    <t>P90590</t>
  </si>
  <si>
    <t>P61234</t>
  </si>
  <si>
    <t>P54928</t>
  </si>
  <si>
    <t>P51227</t>
  </si>
  <si>
    <t>P51951</t>
  </si>
  <si>
    <t>P52133</t>
  </si>
  <si>
    <t>P89046</t>
  </si>
  <si>
    <t>P11964</t>
  </si>
  <si>
    <t>P99070</t>
  </si>
  <si>
    <t>P75593</t>
  </si>
  <si>
    <t>P93051</t>
  </si>
  <si>
    <t>P55481</t>
  </si>
  <si>
    <t>P70755</t>
  </si>
  <si>
    <t>P17694</t>
  </si>
  <si>
    <t>P23051</t>
  </si>
  <si>
    <t>P18983</t>
  </si>
  <si>
    <t>P53340</t>
  </si>
  <si>
    <t>P21967</t>
  </si>
  <si>
    <t>P75535</t>
  </si>
  <si>
    <t>P58587</t>
  </si>
  <si>
    <t>P54665</t>
  </si>
  <si>
    <t>P89326</t>
  </si>
  <si>
    <t>P94306</t>
  </si>
  <si>
    <t>P74136</t>
  </si>
  <si>
    <t>P19622</t>
  </si>
  <si>
    <t>P91269</t>
  </si>
  <si>
    <t>P97427</t>
  </si>
  <si>
    <t>P81811</t>
  </si>
  <si>
    <t>P88340</t>
  </si>
  <si>
    <t>P53573</t>
  </si>
  <si>
    <t>P69142</t>
  </si>
  <si>
    <t>P53154</t>
  </si>
  <si>
    <t>P56159</t>
  </si>
  <si>
    <t>P87175</t>
  </si>
  <si>
    <t>P95235</t>
  </si>
  <si>
    <t>P25309</t>
  </si>
  <si>
    <t>P26699</t>
  </si>
  <si>
    <t>P36617</t>
  </si>
  <si>
    <t>P50875</t>
  </si>
  <si>
    <t>P36962</t>
  </si>
  <si>
    <t>P31938</t>
  </si>
  <si>
    <t>P70967</t>
  </si>
  <si>
    <t>P93014</t>
  </si>
  <si>
    <t>P78255</t>
  </si>
  <si>
    <t>P74004</t>
  </si>
  <si>
    <t>P66696</t>
  </si>
  <si>
    <t>P42630</t>
  </si>
  <si>
    <t>P62969</t>
  </si>
  <si>
    <t>P76095</t>
  </si>
  <si>
    <t>P81902</t>
  </si>
  <si>
    <t>P18361</t>
  </si>
  <si>
    <t>P41325</t>
  </si>
  <si>
    <t>P52117</t>
  </si>
  <si>
    <t>P56750</t>
  </si>
  <si>
    <t>P61220</t>
  </si>
  <si>
    <t>P90552</t>
  </si>
  <si>
    <t>P42422</t>
  </si>
  <si>
    <t>P74719</t>
  </si>
  <si>
    <t>P11499</t>
  </si>
  <si>
    <t>P57241</t>
  </si>
  <si>
    <t>P64035</t>
  </si>
  <si>
    <t>P39228</t>
  </si>
  <si>
    <t>P82659</t>
  </si>
  <si>
    <t>P99689</t>
  </si>
  <si>
    <t>P20266</t>
  </si>
  <si>
    <t>P76317</t>
  </si>
  <si>
    <t>P72647</t>
  </si>
  <si>
    <t>P28827</t>
  </si>
  <si>
    <t>P41733</t>
  </si>
  <si>
    <t>P24172</t>
  </si>
  <si>
    <t>P59517</t>
  </si>
  <si>
    <t>P70806</t>
  </si>
  <si>
    <t>P61019</t>
  </si>
  <si>
    <t>P64724</t>
  </si>
  <si>
    <t>P69729</t>
  </si>
  <si>
    <t>P43944</t>
  </si>
  <si>
    <t>P10605</t>
  </si>
  <si>
    <t>P65681</t>
  </si>
  <si>
    <t>P71902</t>
  </si>
  <si>
    <t>P35582</t>
  </si>
  <si>
    <t>P45427</t>
  </si>
  <si>
    <t>P44744</t>
  </si>
  <si>
    <t>P17363</t>
  </si>
  <si>
    <t>P76950</t>
  </si>
  <si>
    <t>P46851</t>
  </si>
  <si>
    <t>P68592</t>
  </si>
  <si>
    <t>P73943</t>
  </si>
  <si>
    <t>P88285</t>
  </si>
  <si>
    <t>P35177</t>
  </si>
  <si>
    <t>P96085</t>
  </si>
  <si>
    <t>P62647</t>
  </si>
  <si>
    <t>P74075</t>
  </si>
  <si>
    <t>P40699</t>
  </si>
  <si>
    <t>P51535</t>
  </si>
  <si>
    <t>P85952</t>
  </si>
  <si>
    <t>P52181</t>
  </si>
  <si>
    <t>P49223</t>
  </si>
  <si>
    <t>P33041</t>
  </si>
  <si>
    <t>P19774</t>
  </si>
  <si>
    <t>P50087</t>
  </si>
  <si>
    <t>P17253</t>
  </si>
  <si>
    <t>P59489</t>
  </si>
  <si>
    <t>P47924</t>
  </si>
  <si>
    <t>P25430</t>
  </si>
  <si>
    <t>P21384</t>
  </si>
  <si>
    <t>P28789</t>
  </si>
  <si>
    <t>P34425</t>
  </si>
  <si>
    <t>P37055</t>
  </si>
  <si>
    <t>P79740</t>
  </si>
  <si>
    <t>P99821</t>
  </si>
  <si>
    <t>P31299</t>
  </si>
  <si>
    <t>P73596</t>
  </si>
  <si>
    <t>P28623</t>
  </si>
  <si>
    <t>P93598</t>
  </si>
  <si>
    <t>P35742</t>
  </si>
  <si>
    <t>P71416</t>
  </si>
  <si>
    <t>P94901</t>
  </si>
  <si>
    <t>P20634</t>
  </si>
  <si>
    <t>P27561</t>
  </si>
  <si>
    <t>P69318</t>
  </si>
  <si>
    <t>P28418</t>
  </si>
  <si>
    <t>P54746</t>
  </si>
  <si>
    <t>P90523</t>
  </si>
  <si>
    <t>P85076</t>
  </si>
  <si>
    <t>P91486</t>
  </si>
  <si>
    <t>P31274</t>
  </si>
  <si>
    <t>P35025</t>
  </si>
  <si>
    <t>P79704</t>
  </si>
  <si>
    <t>P23975</t>
  </si>
  <si>
    <t>P84276</t>
  </si>
  <si>
    <t>P56541</t>
  </si>
  <si>
    <t>P32595</t>
  </si>
  <si>
    <t>P83511</t>
  </si>
  <si>
    <t>P76524</t>
  </si>
  <si>
    <t>P74344</t>
  </si>
  <si>
    <t>P38471</t>
  </si>
  <si>
    <t>P49378</t>
  </si>
  <si>
    <t>P44309</t>
  </si>
  <si>
    <t>P78170</t>
  </si>
  <si>
    <t>P38940</t>
  </si>
  <si>
    <t>P53210</t>
  </si>
  <si>
    <t>P63507</t>
  </si>
  <si>
    <t>P28571</t>
  </si>
  <si>
    <t>P22687</t>
  </si>
  <si>
    <t>P41142</t>
  </si>
  <si>
    <t>P31670</t>
  </si>
  <si>
    <t>P81888</t>
  </si>
  <si>
    <t>P36077</t>
  </si>
  <si>
    <t>P59935</t>
  </si>
  <si>
    <t>P45647</t>
  </si>
  <si>
    <t>P82285</t>
  </si>
  <si>
    <t>P68793</t>
  </si>
  <si>
    <t>P77804</t>
  </si>
  <si>
    <t>P31932</t>
  </si>
  <si>
    <t>P45183</t>
  </si>
  <si>
    <t>P63200</t>
  </si>
  <si>
    <t>P96075</t>
  </si>
  <si>
    <t>P26158</t>
  </si>
  <si>
    <t>P96306</t>
  </si>
  <si>
    <t>P13341</t>
  </si>
  <si>
    <t>P27265</t>
  </si>
  <si>
    <t>P52393</t>
  </si>
  <si>
    <t>P77616</t>
  </si>
  <si>
    <t>P98302</t>
  </si>
  <si>
    <t>P22089</t>
  </si>
  <si>
    <t>P38229</t>
  </si>
  <si>
    <t>P75961</t>
  </si>
  <si>
    <t>P53867</t>
  </si>
  <si>
    <t>P73097</t>
  </si>
  <si>
    <t>P95990</t>
  </si>
  <si>
    <t>P46348</t>
  </si>
  <si>
    <t>P28664</t>
  </si>
  <si>
    <t>P54983</t>
  </si>
  <si>
    <t>P32617</t>
  </si>
  <si>
    <t>P27192</t>
  </si>
  <si>
    <t>P20294</t>
  </si>
  <si>
    <t>P24029</t>
  </si>
  <si>
    <t>P82334</t>
  </si>
  <si>
    <t>P26345</t>
  </si>
  <si>
    <t>P79895</t>
  </si>
  <si>
    <t>P21813</t>
  </si>
  <si>
    <t>P41559</t>
  </si>
  <si>
    <t>P15109</t>
  </si>
  <si>
    <t>P15948</t>
  </si>
  <si>
    <t>P16168</t>
  </si>
  <si>
    <t>P29123</t>
  </si>
  <si>
    <t>P45769</t>
  </si>
  <si>
    <t>P48138</t>
  </si>
  <si>
    <t>P14527</t>
  </si>
  <si>
    <t>P92040</t>
  </si>
  <si>
    <t>P61657</t>
  </si>
  <si>
    <t>P41681</t>
  </si>
  <si>
    <t>P23366</t>
  </si>
  <si>
    <t>P76692</t>
  </si>
  <si>
    <t>P81800</t>
  </si>
  <si>
    <t>P14427</t>
  </si>
  <si>
    <t>P36445</t>
  </si>
  <si>
    <t>P57789</t>
  </si>
  <si>
    <t>P79254</t>
  </si>
  <si>
    <t>P74968</t>
  </si>
  <si>
    <t>P53255</t>
  </si>
  <si>
    <t>P41997</t>
  </si>
  <si>
    <t>P73771</t>
  </si>
  <si>
    <t>P84492</t>
  </si>
  <si>
    <t>P17238</t>
  </si>
  <si>
    <t>P48056</t>
  </si>
  <si>
    <t>P21308</t>
  </si>
  <si>
    <t>P91909</t>
  </si>
  <si>
    <t>P35915</t>
  </si>
  <si>
    <t>P18451</t>
  </si>
  <si>
    <t>P60419</t>
  </si>
  <si>
    <t>P69171</t>
  </si>
  <si>
    <t>P84649</t>
  </si>
  <si>
    <t>P61528</t>
  </si>
  <si>
    <t>P25204</t>
  </si>
  <si>
    <t>P11509</t>
  </si>
  <si>
    <t>P76776</t>
  </si>
  <si>
    <t>P19859</t>
  </si>
  <si>
    <t>Monitor</t>
  </si>
  <si>
    <t>Laptop</t>
  </si>
  <si>
    <t>Tablet</t>
  </si>
  <si>
    <t>Chair</t>
  </si>
  <si>
    <t>Printer</t>
  </si>
  <si>
    <t>Desk</t>
  </si>
  <si>
    <t>Phone</t>
  </si>
  <si>
    <t>VLOOKUP</t>
  </si>
  <si>
    <t>Sum</t>
  </si>
  <si>
    <t>Average</t>
  </si>
  <si>
    <t>Running Total</t>
  </si>
  <si>
    <t>Count</t>
  </si>
  <si>
    <t>HLOOKUP</t>
  </si>
  <si>
    <t>Column1</t>
  </si>
  <si>
    <t>Column2</t>
  </si>
  <si>
    <t>INDEX</t>
  </si>
  <si>
    <t>MATCH</t>
  </si>
  <si>
    <t>6throw,4thcolumn</t>
  </si>
  <si>
    <t>10throw,2ndcolumn</t>
  </si>
  <si>
    <t>2ndrow,10thcolumn</t>
  </si>
  <si>
    <t>1strow5thcolumn</t>
  </si>
  <si>
    <t>INDEX+MATCH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</si>
</sst>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N8:O14" totalsRowShown="0">
  <autoFilter ref="N8:O14"/>
  <tableColumns count="2">
    <tableColumn id="1" name="Column1"/>
    <tableColumn id="2" name="Column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G22:H28" totalsRowShown="0">
  <autoFilter ref="G22:H28"/>
  <tableColumns count="2">
    <tableColumn id="1" name="Column1"/>
    <tableColumn id="2" name="Column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J22:K29" totalsRowShown="0">
  <autoFilter ref="J22:K29"/>
  <tableColumns count="2">
    <tableColumn id="1" name="Column1"/>
    <tableColumn id="2" name="Column2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N22:O28" totalsRowShown="0">
  <autoFilter ref="N22:O28"/>
  <tableColumns count="2">
    <tableColumn id="1" name="Column1"/>
    <tableColumn id="2" name="Column2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Q8:R15" totalsRowShown="0">
  <autoFilter ref="Q8:R15"/>
  <tableColumns count="2">
    <tableColumn id="1" name="Column1"/>
    <tableColumn id="2" name="Column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01"/>
  <sheetViews>
    <sheetView tabSelected="1" topLeftCell="B1" workbookViewId="0">
      <selection activeCell="Q22" sqref="Q22"/>
    </sheetView>
  </sheetViews>
  <sheetFormatPr defaultRowHeight="15" x14ac:dyDescent="0.25"/>
  <cols>
    <col min="1" max="1" width="9.7109375" bestFit="1" customWidth="1"/>
    <col min="2" max="2" width="13.28515625" bestFit="1" customWidth="1"/>
    <col min="3" max="3" width="15.28515625" bestFit="1" customWidth="1"/>
    <col min="4" max="4" width="12.85546875" bestFit="1" customWidth="1"/>
    <col min="5" max="5" width="8.7109375" bestFit="1" customWidth="1"/>
    <col min="7" max="7" width="11" customWidth="1"/>
    <col min="8" max="8" width="13.28515625" bestFit="1" customWidth="1"/>
    <col min="9" max="9" width="15.28515625" bestFit="1" customWidth="1"/>
    <col min="10" max="10" width="12.85546875" bestFit="1" customWidth="1"/>
    <col min="11" max="11" width="11" customWidth="1"/>
    <col min="14" max="14" width="19" bestFit="1" customWidth="1"/>
    <col min="15" max="15" width="11" customWidth="1"/>
    <col min="17" max="17" width="14" bestFit="1" customWidth="1"/>
    <col min="18" max="18" width="1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N1" s="1" t="s">
        <v>0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</row>
    <row r="2" spans="1:33" x14ac:dyDescent="0.25">
      <c r="A2" t="s">
        <v>5</v>
      </c>
      <c r="B2" t="s">
        <v>505</v>
      </c>
      <c r="C2">
        <v>97</v>
      </c>
      <c r="D2">
        <v>81</v>
      </c>
      <c r="E2">
        <v>174.13</v>
      </c>
      <c r="G2" t="s">
        <v>5</v>
      </c>
      <c r="H2" t="s">
        <v>505</v>
      </c>
      <c r="I2">
        <v>97</v>
      </c>
      <c r="J2">
        <v>81</v>
      </c>
      <c r="K2">
        <v>174.13</v>
      </c>
      <c r="N2" s="1" t="s">
        <v>1</v>
      </c>
      <c r="O2" t="s">
        <v>505</v>
      </c>
      <c r="P2" t="s">
        <v>505</v>
      </c>
      <c r="Q2" t="s">
        <v>506</v>
      </c>
      <c r="R2" t="s">
        <v>507</v>
      </c>
      <c r="S2" t="s">
        <v>508</v>
      </c>
      <c r="T2" t="s">
        <v>506</v>
      </c>
      <c r="U2" t="s">
        <v>506</v>
      </c>
      <c r="V2" t="s">
        <v>505</v>
      </c>
      <c r="W2" t="s">
        <v>507</v>
      </c>
      <c r="X2" t="s">
        <v>509</v>
      </c>
      <c r="Y2" t="s">
        <v>510</v>
      </c>
      <c r="Z2" t="s">
        <v>509</v>
      </c>
      <c r="AA2" t="s">
        <v>508</v>
      </c>
      <c r="AB2" t="s">
        <v>508</v>
      </c>
      <c r="AC2" t="s">
        <v>507</v>
      </c>
      <c r="AD2" t="s">
        <v>509</v>
      </c>
      <c r="AE2" t="s">
        <v>507</v>
      </c>
      <c r="AF2" t="s">
        <v>509</v>
      </c>
      <c r="AG2" t="s">
        <v>511</v>
      </c>
    </row>
    <row r="3" spans="1:33" x14ac:dyDescent="0.25">
      <c r="A3" t="s">
        <v>6</v>
      </c>
      <c r="B3" t="s">
        <v>505</v>
      </c>
      <c r="C3">
        <v>229</v>
      </c>
      <c r="D3">
        <v>32</v>
      </c>
      <c r="E3">
        <v>91.07</v>
      </c>
      <c r="G3" t="s">
        <v>6</v>
      </c>
      <c r="H3" t="s">
        <v>505</v>
      </c>
      <c r="I3">
        <v>229</v>
      </c>
      <c r="J3">
        <v>32</v>
      </c>
      <c r="K3">
        <v>91.07</v>
      </c>
      <c r="N3" s="1" t="s">
        <v>2</v>
      </c>
      <c r="O3">
        <v>97</v>
      </c>
      <c r="P3">
        <v>229</v>
      </c>
      <c r="Q3">
        <v>15</v>
      </c>
      <c r="R3">
        <v>35</v>
      </c>
      <c r="S3">
        <v>442</v>
      </c>
      <c r="T3">
        <v>99</v>
      </c>
      <c r="U3">
        <v>286</v>
      </c>
      <c r="V3">
        <v>228</v>
      </c>
      <c r="W3">
        <v>54</v>
      </c>
      <c r="X3">
        <v>396</v>
      </c>
      <c r="Y3">
        <v>163</v>
      </c>
      <c r="Z3">
        <v>445</v>
      </c>
      <c r="AA3">
        <v>437</v>
      </c>
      <c r="AB3">
        <v>301</v>
      </c>
      <c r="AC3">
        <v>16</v>
      </c>
      <c r="AD3">
        <v>176</v>
      </c>
      <c r="AE3">
        <v>186</v>
      </c>
      <c r="AF3">
        <v>229</v>
      </c>
      <c r="AG3">
        <v>444</v>
      </c>
    </row>
    <row r="4" spans="1:33" x14ac:dyDescent="0.25">
      <c r="A4" t="s">
        <v>7</v>
      </c>
      <c r="B4" t="s">
        <v>506</v>
      </c>
      <c r="C4">
        <v>15</v>
      </c>
      <c r="D4">
        <v>72</v>
      </c>
      <c r="E4">
        <v>179.93</v>
      </c>
      <c r="G4" t="s">
        <v>7</v>
      </c>
      <c r="H4" t="s">
        <v>506</v>
      </c>
      <c r="I4">
        <v>15</v>
      </c>
      <c r="J4">
        <v>72</v>
      </c>
      <c r="K4">
        <v>179.93</v>
      </c>
      <c r="N4" s="1" t="s">
        <v>3</v>
      </c>
      <c r="O4">
        <v>81</v>
      </c>
      <c r="P4">
        <v>32</v>
      </c>
      <c r="Q4">
        <v>72</v>
      </c>
      <c r="R4">
        <v>56</v>
      </c>
      <c r="S4">
        <v>64</v>
      </c>
      <c r="T4">
        <v>79</v>
      </c>
      <c r="U4">
        <v>33</v>
      </c>
      <c r="V4">
        <v>45</v>
      </c>
      <c r="W4">
        <v>99</v>
      </c>
      <c r="X4">
        <v>84</v>
      </c>
      <c r="Y4">
        <v>44</v>
      </c>
      <c r="Z4">
        <v>80</v>
      </c>
      <c r="AA4">
        <v>83</v>
      </c>
      <c r="AB4">
        <v>27</v>
      </c>
      <c r="AC4">
        <v>70</v>
      </c>
      <c r="AD4">
        <v>53</v>
      </c>
      <c r="AE4">
        <v>76</v>
      </c>
      <c r="AF4">
        <v>72</v>
      </c>
      <c r="AG4">
        <v>33</v>
      </c>
    </row>
    <row r="5" spans="1:33" x14ac:dyDescent="0.25">
      <c r="A5" t="s">
        <v>8</v>
      </c>
      <c r="B5" t="s">
        <v>507</v>
      </c>
      <c r="C5">
        <v>35</v>
      </c>
      <c r="D5">
        <v>56</v>
      </c>
      <c r="E5">
        <v>159.55000000000001</v>
      </c>
      <c r="G5" t="s">
        <v>8</v>
      </c>
      <c r="H5" t="s">
        <v>507</v>
      </c>
      <c r="I5">
        <v>35</v>
      </c>
      <c r="J5">
        <v>56</v>
      </c>
      <c r="K5">
        <v>159.55000000000001</v>
      </c>
      <c r="N5" s="1" t="s">
        <v>4</v>
      </c>
      <c r="O5">
        <v>174.13</v>
      </c>
      <c r="P5">
        <v>91.07</v>
      </c>
      <c r="Q5">
        <v>179.93</v>
      </c>
      <c r="R5">
        <v>159.55000000000001</v>
      </c>
      <c r="S5">
        <v>2.02</v>
      </c>
      <c r="T5">
        <v>116.17</v>
      </c>
      <c r="U5">
        <v>157.27000000000001</v>
      </c>
      <c r="V5">
        <v>3.93</v>
      </c>
      <c r="W5">
        <v>102.09</v>
      </c>
      <c r="X5">
        <v>147.57</v>
      </c>
      <c r="Y5">
        <v>155.35</v>
      </c>
      <c r="Z5">
        <v>4.07</v>
      </c>
      <c r="AA5">
        <v>128.82</v>
      </c>
      <c r="AB5">
        <v>66.48</v>
      </c>
      <c r="AC5">
        <v>182.34</v>
      </c>
      <c r="AD5">
        <v>68.77</v>
      </c>
      <c r="AE5">
        <v>47.17</v>
      </c>
      <c r="AF5">
        <v>96.59</v>
      </c>
      <c r="AG5">
        <v>5.48</v>
      </c>
    </row>
    <row r="6" spans="1:33" x14ac:dyDescent="0.25">
      <c r="A6" t="s">
        <v>9</v>
      </c>
      <c r="B6" t="s">
        <v>508</v>
      </c>
      <c r="C6">
        <v>442</v>
      </c>
      <c r="D6">
        <v>64</v>
      </c>
      <c r="E6">
        <v>2.02</v>
      </c>
      <c r="G6" t="s">
        <v>9</v>
      </c>
      <c r="H6" t="s">
        <v>508</v>
      </c>
      <c r="I6">
        <v>442</v>
      </c>
      <c r="J6">
        <v>64</v>
      </c>
      <c r="K6">
        <v>2.02</v>
      </c>
    </row>
    <row r="7" spans="1:33" x14ac:dyDescent="0.25">
      <c r="A7" t="s">
        <v>10</v>
      </c>
      <c r="B7" t="s">
        <v>506</v>
      </c>
      <c r="C7">
        <v>99</v>
      </c>
      <c r="D7">
        <v>79</v>
      </c>
      <c r="E7">
        <v>116.17</v>
      </c>
      <c r="G7" t="s">
        <v>10</v>
      </c>
      <c r="H7" t="s">
        <v>506</v>
      </c>
      <c r="I7">
        <v>99</v>
      </c>
      <c r="J7">
        <v>79</v>
      </c>
      <c r="K7">
        <v>116.17</v>
      </c>
    </row>
    <row r="8" spans="1:33" x14ac:dyDescent="0.25">
      <c r="A8" t="s">
        <v>11</v>
      </c>
      <c r="B8" t="s">
        <v>506</v>
      </c>
      <c r="C8">
        <v>286</v>
      </c>
      <c r="D8">
        <v>33</v>
      </c>
      <c r="E8">
        <v>157.27000000000001</v>
      </c>
      <c r="G8" t="s">
        <v>11</v>
      </c>
      <c r="H8" t="s">
        <v>506</v>
      </c>
      <c r="I8">
        <v>286</v>
      </c>
      <c r="J8">
        <v>33</v>
      </c>
      <c r="K8">
        <v>157.27000000000001</v>
      </c>
      <c r="N8" s="2" t="s">
        <v>518</v>
      </c>
      <c r="O8" t="s">
        <v>519</v>
      </c>
      <c r="Q8" t="s">
        <v>518</v>
      </c>
      <c r="R8" t="s">
        <v>519</v>
      </c>
    </row>
    <row r="9" spans="1:33" x14ac:dyDescent="0.25">
      <c r="A9" t="s">
        <v>12</v>
      </c>
      <c r="B9" t="s">
        <v>505</v>
      </c>
      <c r="C9">
        <v>228</v>
      </c>
      <c r="D9">
        <v>45</v>
      </c>
      <c r="E9">
        <v>3.93</v>
      </c>
      <c r="G9" t="s">
        <v>12</v>
      </c>
      <c r="H9" t="s">
        <v>505</v>
      </c>
      <c r="I9">
        <v>228</v>
      </c>
      <c r="J9">
        <v>45</v>
      </c>
      <c r="K9">
        <v>3.93</v>
      </c>
      <c r="N9" s="2" t="s">
        <v>517</v>
      </c>
      <c r="Q9" t="s">
        <v>526</v>
      </c>
    </row>
    <row r="10" spans="1:33" x14ac:dyDescent="0.25">
      <c r="A10" t="s">
        <v>13</v>
      </c>
      <c r="B10" t="s">
        <v>507</v>
      </c>
      <c r="C10">
        <v>54</v>
      </c>
      <c r="D10">
        <v>99</v>
      </c>
      <c r="E10">
        <v>102.09</v>
      </c>
      <c r="G10" t="s">
        <v>13</v>
      </c>
      <c r="H10" t="s">
        <v>507</v>
      </c>
      <c r="I10">
        <v>54</v>
      </c>
      <c r="J10">
        <v>99</v>
      </c>
      <c r="K10">
        <v>102.09</v>
      </c>
    </row>
    <row r="11" spans="1:33" x14ac:dyDescent="0.25">
      <c r="A11" t="s">
        <v>14</v>
      </c>
      <c r="B11" t="s">
        <v>509</v>
      </c>
      <c r="C11">
        <v>396</v>
      </c>
      <c r="D11">
        <v>84</v>
      </c>
      <c r="E11">
        <v>147.57</v>
      </c>
      <c r="G11" t="s">
        <v>14</v>
      </c>
      <c r="H11" t="s">
        <v>509</v>
      </c>
      <c r="I11">
        <v>396</v>
      </c>
      <c r="J11">
        <v>84</v>
      </c>
      <c r="K11">
        <v>147.57</v>
      </c>
      <c r="N11" t="s">
        <v>508</v>
      </c>
      <c r="O11">
        <f>HLOOKUP(S2,O2:AG5,4,0)</f>
        <v>2.02</v>
      </c>
      <c r="Q11" t="s">
        <v>507</v>
      </c>
      <c r="R11">
        <f>INDEX(K2:K20,MATCH(Q11,H2:H20,0))</f>
        <v>159.55000000000001</v>
      </c>
    </row>
    <row r="12" spans="1:33" x14ac:dyDescent="0.25">
      <c r="A12" t="s">
        <v>15</v>
      </c>
      <c r="B12" t="s">
        <v>510</v>
      </c>
      <c r="C12">
        <v>163</v>
      </c>
      <c r="D12">
        <v>44</v>
      </c>
      <c r="E12">
        <v>155.35</v>
      </c>
      <c r="G12" t="s">
        <v>15</v>
      </c>
      <c r="H12" t="s">
        <v>510</v>
      </c>
      <c r="I12">
        <v>163</v>
      </c>
      <c r="J12">
        <v>44</v>
      </c>
      <c r="K12">
        <v>155.35</v>
      </c>
      <c r="N12" t="s">
        <v>11</v>
      </c>
      <c r="O12">
        <f>HLOOKUP(U1,O1:AG5,5,0)</f>
        <v>157.27000000000001</v>
      </c>
      <c r="Q12" t="s">
        <v>509</v>
      </c>
      <c r="R12">
        <f>INDEX(J2:J20,MATCH(Q12,H2:H20,0))</f>
        <v>84</v>
      </c>
    </row>
    <row r="13" spans="1:33" x14ac:dyDescent="0.25">
      <c r="A13" t="s">
        <v>16</v>
      </c>
      <c r="B13" t="s">
        <v>509</v>
      </c>
      <c r="C13">
        <v>445</v>
      </c>
      <c r="D13">
        <v>80</v>
      </c>
      <c r="E13">
        <v>4.07</v>
      </c>
      <c r="G13" t="s">
        <v>16</v>
      </c>
      <c r="H13" t="s">
        <v>509</v>
      </c>
      <c r="I13">
        <v>445</v>
      </c>
      <c r="J13">
        <v>80</v>
      </c>
      <c r="K13">
        <v>4.07</v>
      </c>
      <c r="N13" t="s">
        <v>510</v>
      </c>
      <c r="O13">
        <f>HLOOKUP(S2,O2:AG5,4,0)</f>
        <v>2.02</v>
      </c>
      <c r="Q13" t="s">
        <v>510</v>
      </c>
      <c r="R13">
        <f>INDEX(I2:I20,MATCH(Q13,H2:H20,0))</f>
        <v>163</v>
      </c>
    </row>
    <row r="14" spans="1:33" x14ac:dyDescent="0.25">
      <c r="A14" t="s">
        <v>17</v>
      </c>
      <c r="B14" t="s">
        <v>508</v>
      </c>
      <c r="C14">
        <v>437</v>
      </c>
      <c r="D14">
        <v>83</v>
      </c>
      <c r="E14">
        <v>128.82</v>
      </c>
      <c r="G14" t="s">
        <v>17</v>
      </c>
      <c r="H14" t="s">
        <v>508</v>
      </c>
      <c r="I14">
        <v>437</v>
      </c>
      <c r="J14">
        <v>83</v>
      </c>
      <c r="K14">
        <v>128.82</v>
      </c>
      <c r="N14" t="s">
        <v>507</v>
      </c>
      <c r="O14">
        <f>HLOOKUP(W2,O2:AG5,4,0)</f>
        <v>159.55000000000001</v>
      </c>
      <c r="Q14" t="s">
        <v>15</v>
      </c>
      <c r="R14">
        <f>INDEX(K2:K20,MATCH(Q14,G2:G20,0))</f>
        <v>155.35</v>
      </c>
    </row>
    <row r="15" spans="1:33" x14ac:dyDescent="0.25">
      <c r="A15" t="s">
        <v>18</v>
      </c>
      <c r="B15" t="s">
        <v>508</v>
      </c>
      <c r="C15">
        <v>301</v>
      </c>
      <c r="D15">
        <v>27</v>
      </c>
      <c r="E15">
        <v>66.48</v>
      </c>
      <c r="G15" t="s">
        <v>18</v>
      </c>
      <c r="H15" t="s">
        <v>508</v>
      </c>
      <c r="I15">
        <v>301</v>
      </c>
      <c r="J15">
        <v>27</v>
      </c>
      <c r="K15">
        <v>66.48</v>
      </c>
      <c r="Q15" t="s">
        <v>21</v>
      </c>
      <c r="R15">
        <f>INDEX(I2:I20,MATCH(Q15,G2:G20,0))</f>
        <v>186</v>
      </c>
    </row>
    <row r="16" spans="1:33" x14ac:dyDescent="0.25">
      <c r="A16" t="s">
        <v>19</v>
      </c>
      <c r="B16" t="s">
        <v>507</v>
      </c>
      <c r="C16">
        <v>16</v>
      </c>
      <c r="D16">
        <v>70</v>
      </c>
      <c r="E16">
        <v>182.34</v>
      </c>
      <c r="G16" t="s">
        <v>19</v>
      </c>
      <c r="H16" t="s">
        <v>507</v>
      </c>
      <c r="I16">
        <v>16</v>
      </c>
      <c r="J16">
        <v>70</v>
      </c>
      <c r="K16">
        <v>182.34</v>
      </c>
    </row>
    <row r="17" spans="1:15" x14ac:dyDescent="0.25">
      <c r="A17" t="s">
        <v>20</v>
      </c>
      <c r="B17" t="s">
        <v>509</v>
      </c>
      <c r="C17">
        <v>176</v>
      </c>
      <c r="D17">
        <v>53</v>
      </c>
      <c r="E17">
        <v>68.77</v>
      </c>
      <c r="G17" t="s">
        <v>20</v>
      </c>
      <c r="H17" t="s">
        <v>509</v>
      </c>
      <c r="I17">
        <v>176</v>
      </c>
      <c r="J17">
        <v>53</v>
      </c>
      <c r="K17">
        <v>68.77</v>
      </c>
    </row>
    <row r="18" spans="1:15" x14ac:dyDescent="0.25">
      <c r="A18" t="s">
        <v>21</v>
      </c>
      <c r="B18" t="s">
        <v>507</v>
      </c>
      <c r="C18">
        <v>186</v>
      </c>
      <c r="D18">
        <v>76</v>
      </c>
      <c r="E18">
        <v>47.17</v>
      </c>
      <c r="G18" t="s">
        <v>21</v>
      </c>
      <c r="H18" t="s">
        <v>507</v>
      </c>
      <c r="I18">
        <v>186</v>
      </c>
      <c r="J18">
        <v>76</v>
      </c>
      <c r="K18">
        <v>47.17</v>
      </c>
    </row>
    <row r="19" spans="1:15" x14ac:dyDescent="0.25">
      <c r="A19" t="s">
        <v>22</v>
      </c>
      <c r="B19" t="s">
        <v>509</v>
      </c>
      <c r="C19">
        <v>229</v>
      </c>
      <c r="D19">
        <v>72</v>
      </c>
      <c r="E19">
        <v>96.59</v>
      </c>
      <c r="G19" t="s">
        <v>22</v>
      </c>
      <c r="H19" t="s">
        <v>509</v>
      </c>
      <c r="I19">
        <v>229</v>
      </c>
      <c r="J19">
        <v>72</v>
      </c>
      <c r="K19">
        <v>96.59</v>
      </c>
    </row>
    <row r="20" spans="1:15" x14ac:dyDescent="0.25">
      <c r="A20" t="s">
        <v>23</v>
      </c>
      <c r="B20" t="s">
        <v>511</v>
      </c>
      <c r="C20">
        <v>444</v>
      </c>
      <c r="D20">
        <v>33</v>
      </c>
      <c r="E20">
        <v>5.48</v>
      </c>
      <c r="G20" t="s">
        <v>23</v>
      </c>
      <c r="H20" t="s">
        <v>511</v>
      </c>
      <c r="I20">
        <v>444</v>
      </c>
      <c r="J20">
        <v>33</v>
      </c>
      <c r="K20">
        <v>5.48</v>
      </c>
    </row>
    <row r="21" spans="1:15" x14ac:dyDescent="0.25">
      <c r="A21" t="s">
        <v>24</v>
      </c>
      <c r="B21" t="s">
        <v>510</v>
      </c>
      <c r="C21">
        <v>405</v>
      </c>
      <c r="D21">
        <v>34</v>
      </c>
      <c r="E21">
        <v>92.46</v>
      </c>
    </row>
    <row r="22" spans="1:15" x14ac:dyDescent="0.25">
      <c r="A22" t="s">
        <v>25</v>
      </c>
      <c r="B22" t="s">
        <v>510</v>
      </c>
      <c r="C22">
        <v>132</v>
      </c>
      <c r="D22">
        <v>33</v>
      </c>
      <c r="E22">
        <v>60.53</v>
      </c>
      <c r="G22" t="s">
        <v>518</v>
      </c>
      <c r="H22" t="s">
        <v>519</v>
      </c>
      <c r="J22" t="s">
        <v>518</v>
      </c>
      <c r="K22" t="s">
        <v>519</v>
      </c>
      <c r="N22" t="s">
        <v>518</v>
      </c>
      <c r="O22" t="s">
        <v>519</v>
      </c>
    </row>
    <row r="23" spans="1:15" x14ac:dyDescent="0.25">
      <c r="A23" t="s">
        <v>26</v>
      </c>
      <c r="B23" t="s">
        <v>510</v>
      </c>
      <c r="C23">
        <v>485</v>
      </c>
      <c r="D23">
        <v>64</v>
      </c>
      <c r="E23">
        <v>194.42</v>
      </c>
      <c r="G23" t="s">
        <v>512</v>
      </c>
      <c r="J23" t="s">
        <v>521</v>
      </c>
      <c r="N23" t="s">
        <v>520</v>
      </c>
    </row>
    <row r="24" spans="1:15" x14ac:dyDescent="0.25">
      <c r="A24" t="s">
        <v>27</v>
      </c>
      <c r="B24" t="s">
        <v>510</v>
      </c>
      <c r="C24">
        <v>68</v>
      </c>
      <c r="D24">
        <v>39</v>
      </c>
      <c r="E24">
        <v>176.51</v>
      </c>
    </row>
    <row r="25" spans="1:15" x14ac:dyDescent="0.25">
      <c r="A25" t="s">
        <v>28</v>
      </c>
      <c r="B25" t="s">
        <v>507</v>
      </c>
      <c r="C25">
        <v>304</v>
      </c>
      <c r="D25">
        <v>30</v>
      </c>
      <c r="E25">
        <v>74.44</v>
      </c>
      <c r="G25" t="s">
        <v>9</v>
      </c>
      <c r="H25">
        <f>VLOOKUP(G6,G2:K20,5,0)</f>
        <v>2.02</v>
      </c>
      <c r="J25" t="s">
        <v>505</v>
      </c>
      <c r="K25">
        <f>MATCH(J25,H2:H20,0)</f>
        <v>1</v>
      </c>
      <c r="N25" t="s">
        <v>522</v>
      </c>
      <c r="O25">
        <f>INDEX(H2:K20,6,4)</f>
        <v>116.17</v>
      </c>
    </row>
    <row r="26" spans="1:15" x14ac:dyDescent="0.25">
      <c r="A26" t="s">
        <v>29</v>
      </c>
      <c r="B26" t="s">
        <v>511</v>
      </c>
      <c r="C26">
        <v>171</v>
      </c>
      <c r="D26">
        <v>60</v>
      </c>
      <c r="E26">
        <v>112.65</v>
      </c>
      <c r="G26" t="s">
        <v>505</v>
      </c>
      <c r="H26">
        <f>VLOOKUP(H2,H2:K20,4,0)</f>
        <v>174.13</v>
      </c>
      <c r="J26">
        <v>301</v>
      </c>
      <c r="K26">
        <f>MATCH(J26,I2:I20,0)</f>
        <v>14</v>
      </c>
      <c r="N26" t="s">
        <v>523</v>
      </c>
      <c r="O26">
        <f>INDEX(H2:K20,10,2)</f>
        <v>396</v>
      </c>
    </row>
    <row r="27" spans="1:15" x14ac:dyDescent="0.25">
      <c r="A27" t="s">
        <v>30</v>
      </c>
      <c r="B27" t="s">
        <v>505</v>
      </c>
      <c r="C27">
        <v>1</v>
      </c>
      <c r="D27">
        <v>55</v>
      </c>
      <c r="E27">
        <v>18.690000000000001</v>
      </c>
      <c r="G27" t="s">
        <v>507</v>
      </c>
      <c r="H27">
        <f>VLOOKUP(H5,H2:K20,4,0)</f>
        <v>159.55000000000001</v>
      </c>
      <c r="J27" t="s">
        <v>23</v>
      </c>
      <c r="K27">
        <f>MATCH(J27,G2:G20,0)</f>
        <v>19</v>
      </c>
      <c r="N27" t="s">
        <v>524</v>
      </c>
      <c r="O27" t="str">
        <f>INDEX(O1:AG5,2,10)</f>
        <v>Printer</v>
      </c>
    </row>
    <row r="28" spans="1:15" x14ac:dyDescent="0.25">
      <c r="A28" t="s">
        <v>31</v>
      </c>
      <c r="B28" t="s">
        <v>511</v>
      </c>
      <c r="C28">
        <v>322</v>
      </c>
      <c r="D28">
        <v>73</v>
      </c>
      <c r="E28">
        <v>168.96</v>
      </c>
      <c r="G28" t="s">
        <v>509</v>
      </c>
      <c r="H28">
        <f>VLOOKUP(H17,H2:K20,4,0)</f>
        <v>147.57</v>
      </c>
      <c r="J28" t="s">
        <v>506</v>
      </c>
      <c r="K28">
        <f>MATCH(J28,O2:AG2,0)</f>
        <v>3</v>
      </c>
      <c r="N28" t="s">
        <v>525</v>
      </c>
      <c r="O28" t="str">
        <f>INDEX(O1:AG5,1,5)</f>
        <v>P76449</v>
      </c>
    </row>
    <row r="29" spans="1:15" x14ac:dyDescent="0.25">
      <c r="A29" t="s">
        <v>32</v>
      </c>
      <c r="B29" t="s">
        <v>511</v>
      </c>
      <c r="C29">
        <v>291</v>
      </c>
      <c r="D29">
        <v>53</v>
      </c>
      <c r="E29">
        <v>161.77000000000001</v>
      </c>
      <c r="J29" t="s">
        <v>509</v>
      </c>
      <c r="K29">
        <f>MATCH(J29,O2:AG2,0)</f>
        <v>10</v>
      </c>
    </row>
    <row r="30" spans="1:15" x14ac:dyDescent="0.25">
      <c r="A30" t="s">
        <v>33</v>
      </c>
      <c r="B30" t="s">
        <v>505</v>
      </c>
      <c r="C30">
        <v>385</v>
      </c>
      <c r="D30">
        <v>57</v>
      </c>
      <c r="E30">
        <v>169.39</v>
      </c>
    </row>
    <row r="31" spans="1:15" x14ac:dyDescent="0.25">
      <c r="A31" t="s">
        <v>34</v>
      </c>
      <c r="B31" t="s">
        <v>507</v>
      </c>
      <c r="C31">
        <v>285</v>
      </c>
      <c r="D31">
        <v>48</v>
      </c>
      <c r="E31">
        <v>155.59</v>
      </c>
    </row>
    <row r="32" spans="1:15" x14ac:dyDescent="0.25">
      <c r="A32" t="s">
        <v>35</v>
      </c>
      <c r="B32" t="s">
        <v>511</v>
      </c>
      <c r="C32">
        <v>253</v>
      </c>
      <c r="D32">
        <v>42</v>
      </c>
      <c r="E32">
        <v>175.7</v>
      </c>
    </row>
    <row r="33" spans="1:5" x14ac:dyDescent="0.25">
      <c r="A33" t="s">
        <v>36</v>
      </c>
      <c r="B33" t="s">
        <v>505</v>
      </c>
      <c r="C33">
        <v>374</v>
      </c>
      <c r="D33">
        <v>50</v>
      </c>
      <c r="E33">
        <v>156.4</v>
      </c>
    </row>
    <row r="34" spans="1:5" x14ac:dyDescent="0.25">
      <c r="A34" t="s">
        <v>37</v>
      </c>
      <c r="B34" t="s">
        <v>506</v>
      </c>
      <c r="C34">
        <v>221</v>
      </c>
      <c r="D34">
        <v>67</v>
      </c>
      <c r="E34">
        <v>2.8</v>
      </c>
    </row>
    <row r="35" spans="1:5" x14ac:dyDescent="0.25">
      <c r="A35" t="s">
        <v>38</v>
      </c>
      <c r="B35" t="s">
        <v>507</v>
      </c>
      <c r="C35">
        <v>476</v>
      </c>
      <c r="D35">
        <v>99</v>
      </c>
      <c r="E35">
        <v>175.08</v>
      </c>
    </row>
    <row r="36" spans="1:5" x14ac:dyDescent="0.25">
      <c r="A36" t="s">
        <v>39</v>
      </c>
      <c r="B36" t="s">
        <v>508</v>
      </c>
      <c r="C36">
        <v>73</v>
      </c>
      <c r="D36">
        <v>33</v>
      </c>
      <c r="E36">
        <v>116.8</v>
      </c>
    </row>
    <row r="37" spans="1:5" x14ac:dyDescent="0.25">
      <c r="A37" t="s">
        <v>40</v>
      </c>
      <c r="B37" t="s">
        <v>511</v>
      </c>
      <c r="C37">
        <v>367</v>
      </c>
      <c r="D37">
        <v>81</v>
      </c>
      <c r="E37">
        <v>77.84</v>
      </c>
    </row>
    <row r="38" spans="1:5" x14ac:dyDescent="0.25">
      <c r="A38" t="s">
        <v>41</v>
      </c>
      <c r="B38" t="s">
        <v>505</v>
      </c>
      <c r="C38">
        <v>314</v>
      </c>
      <c r="D38">
        <v>90</v>
      </c>
      <c r="E38">
        <v>94.12</v>
      </c>
    </row>
    <row r="39" spans="1:5" x14ac:dyDescent="0.25">
      <c r="A39" t="s">
        <v>42</v>
      </c>
      <c r="B39" t="s">
        <v>511</v>
      </c>
      <c r="C39">
        <v>38</v>
      </c>
      <c r="D39">
        <v>43</v>
      </c>
      <c r="E39">
        <v>177.72</v>
      </c>
    </row>
    <row r="40" spans="1:5" x14ac:dyDescent="0.25">
      <c r="A40" t="s">
        <v>43</v>
      </c>
      <c r="B40" t="s">
        <v>508</v>
      </c>
      <c r="C40">
        <v>423</v>
      </c>
      <c r="D40">
        <v>51</v>
      </c>
      <c r="E40">
        <v>154.86000000000001</v>
      </c>
    </row>
    <row r="41" spans="1:5" x14ac:dyDescent="0.25">
      <c r="A41" t="s">
        <v>44</v>
      </c>
      <c r="B41" t="s">
        <v>508</v>
      </c>
      <c r="C41">
        <v>447</v>
      </c>
      <c r="D41">
        <v>99</v>
      </c>
      <c r="E41">
        <v>28.72</v>
      </c>
    </row>
    <row r="42" spans="1:5" x14ac:dyDescent="0.25">
      <c r="A42" t="s">
        <v>45</v>
      </c>
      <c r="B42" t="s">
        <v>505</v>
      </c>
      <c r="C42">
        <v>379</v>
      </c>
      <c r="D42">
        <v>66</v>
      </c>
      <c r="E42">
        <v>67.36</v>
      </c>
    </row>
    <row r="43" spans="1:5" x14ac:dyDescent="0.25">
      <c r="A43" t="s">
        <v>46</v>
      </c>
      <c r="B43" t="s">
        <v>508</v>
      </c>
      <c r="C43">
        <v>479</v>
      </c>
      <c r="D43">
        <v>38</v>
      </c>
      <c r="E43">
        <v>46.56</v>
      </c>
    </row>
    <row r="44" spans="1:5" x14ac:dyDescent="0.25">
      <c r="A44" t="s">
        <v>47</v>
      </c>
      <c r="B44" t="s">
        <v>509</v>
      </c>
      <c r="C44">
        <v>14</v>
      </c>
      <c r="D44">
        <v>72</v>
      </c>
      <c r="E44">
        <v>104.55</v>
      </c>
    </row>
    <row r="45" spans="1:5" x14ac:dyDescent="0.25">
      <c r="A45" t="s">
        <v>48</v>
      </c>
      <c r="B45" t="s">
        <v>511</v>
      </c>
      <c r="C45">
        <v>223</v>
      </c>
      <c r="D45">
        <v>45</v>
      </c>
      <c r="E45">
        <v>199.86</v>
      </c>
    </row>
    <row r="46" spans="1:5" x14ac:dyDescent="0.25">
      <c r="A46" t="s">
        <v>49</v>
      </c>
      <c r="B46" t="s">
        <v>509</v>
      </c>
      <c r="C46">
        <v>82</v>
      </c>
      <c r="D46">
        <v>98</v>
      </c>
      <c r="E46">
        <v>183.72</v>
      </c>
    </row>
    <row r="47" spans="1:5" x14ac:dyDescent="0.25">
      <c r="A47" t="s">
        <v>50</v>
      </c>
      <c r="B47" t="s">
        <v>506</v>
      </c>
      <c r="C47">
        <v>439</v>
      </c>
      <c r="D47">
        <v>33</v>
      </c>
      <c r="E47">
        <v>81.16</v>
      </c>
    </row>
    <row r="48" spans="1:5" x14ac:dyDescent="0.25">
      <c r="A48" t="s">
        <v>51</v>
      </c>
      <c r="B48" t="s">
        <v>508</v>
      </c>
      <c r="C48">
        <v>430</v>
      </c>
      <c r="D48">
        <v>73</v>
      </c>
      <c r="E48">
        <v>142.19999999999999</v>
      </c>
    </row>
    <row r="49" spans="1:5" x14ac:dyDescent="0.25">
      <c r="A49" t="s">
        <v>52</v>
      </c>
      <c r="B49" t="s">
        <v>508</v>
      </c>
      <c r="C49">
        <v>391</v>
      </c>
      <c r="D49">
        <v>79</v>
      </c>
      <c r="E49">
        <v>12.09</v>
      </c>
    </row>
    <row r="50" spans="1:5" x14ac:dyDescent="0.25">
      <c r="A50" t="s">
        <v>53</v>
      </c>
      <c r="B50" t="s">
        <v>511</v>
      </c>
      <c r="C50">
        <v>156</v>
      </c>
      <c r="D50">
        <v>38</v>
      </c>
      <c r="E50">
        <v>42.39</v>
      </c>
    </row>
    <row r="51" spans="1:5" x14ac:dyDescent="0.25">
      <c r="A51" t="s">
        <v>54</v>
      </c>
      <c r="B51" t="s">
        <v>507</v>
      </c>
      <c r="C51">
        <v>61</v>
      </c>
      <c r="D51">
        <v>96</v>
      </c>
      <c r="E51">
        <v>132.96</v>
      </c>
    </row>
    <row r="52" spans="1:5" x14ac:dyDescent="0.25">
      <c r="A52" t="s">
        <v>55</v>
      </c>
      <c r="B52" t="s">
        <v>505</v>
      </c>
      <c r="C52">
        <v>342</v>
      </c>
      <c r="D52">
        <v>73</v>
      </c>
      <c r="E52">
        <v>56.11</v>
      </c>
    </row>
    <row r="53" spans="1:5" x14ac:dyDescent="0.25">
      <c r="A53" t="s">
        <v>56</v>
      </c>
      <c r="B53" t="s">
        <v>505</v>
      </c>
      <c r="C53">
        <v>56</v>
      </c>
      <c r="D53">
        <v>44</v>
      </c>
      <c r="E53">
        <v>87.04</v>
      </c>
    </row>
    <row r="54" spans="1:5" x14ac:dyDescent="0.25">
      <c r="A54" t="s">
        <v>57</v>
      </c>
      <c r="B54" t="s">
        <v>511</v>
      </c>
      <c r="C54">
        <v>38</v>
      </c>
      <c r="D54">
        <v>35</v>
      </c>
      <c r="E54">
        <v>31.88</v>
      </c>
    </row>
    <row r="55" spans="1:5" x14ac:dyDescent="0.25">
      <c r="A55" t="s">
        <v>58</v>
      </c>
      <c r="B55" t="s">
        <v>506</v>
      </c>
      <c r="C55">
        <v>115</v>
      </c>
      <c r="D55">
        <v>81</v>
      </c>
      <c r="E55">
        <v>31.74</v>
      </c>
    </row>
    <row r="56" spans="1:5" x14ac:dyDescent="0.25">
      <c r="A56" t="s">
        <v>59</v>
      </c>
      <c r="B56" t="s">
        <v>505</v>
      </c>
      <c r="C56">
        <v>480</v>
      </c>
      <c r="D56">
        <v>91</v>
      </c>
      <c r="E56">
        <v>79.510000000000005</v>
      </c>
    </row>
    <row r="57" spans="1:5" x14ac:dyDescent="0.25">
      <c r="A57" t="s">
        <v>60</v>
      </c>
      <c r="B57" t="s">
        <v>507</v>
      </c>
      <c r="C57">
        <v>327</v>
      </c>
      <c r="D57">
        <v>97</v>
      </c>
      <c r="E57">
        <v>7.41</v>
      </c>
    </row>
    <row r="58" spans="1:5" x14ac:dyDescent="0.25">
      <c r="A58" t="s">
        <v>61</v>
      </c>
      <c r="B58" t="s">
        <v>505</v>
      </c>
      <c r="C58">
        <v>119</v>
      </c>
      <c r="D58">
        <v>96</v>
      </c>
      <c r="E58">
        <v>28.11</v>
      </c>
    </row>
    <row r="59" spans="1:5" x14ac:dyDescent="0.25">
      <c r="A59" t="s">
        <v>62</v>
      </c>
      <c r="B59" t="s">
        <v>505</v>
      </c>
      <c r="C59">
        <v>444</v>
      </c>
      <c r="D59">
        <v>21</v>
      </c>
      <c r="E59">
        <v>124.11</v>
      </c>
    </row>
    <row r="60" spans="1:5" x14ac:dyDescent="0.25">
      <c r="A60" t="s">
        <v>63</v>
      </c>
      <c r="B60" t="s">
        <v>505</v>
      </c>
      <c r="C60">
        <v>472</v>
      </c>
      <c r="D60">
        <v>27</v>
      </c>
      <c r="E60">
        <v>101.98</v>
      </c>
    </row>
    <row r="61" spans="1:5" x14ac:dyDescent="0.25">
      <c r="A61" t="s">
        <v>64</v>
      </c>
      <c r="B61" t="s">
        <v>505</v>
      </c>
      <c r="C61">
        <v>219</v>
      </c>
      <c r="D61">
        <v>41</v>
      </c>
      <c r="E61">
        <v>165.74</v>
      </c>
    </row>
    <row r="62" spans="1:5" x14ac:dyDescent="0.25">
      <c r="A62" t="s">
        <v>65</v>
      </c>
      <c r="B62" t="s">
        <v>506</v>
      </c>
      <c r="C62">
        <v>192</v>
      </c>
      <c r="D62">
        <v>73</v>
      </c>
      <c r="E62">
        <v>87.57</v>
      </c>
    </row>
    <row r="63" spans="1:5" x14ac:dyDescent="0.25">
      <c r="A63" t="s">
        <v>66</v>
      </c>
      <c r="B63" t="s">
        <v>506</v>
      </c>
      <c r="C63">
        <v>334</v>
      </c>
      <c r="D63">
        <v>76</v>
      </c>
      <c r="E63">
        <v>33.200000000000003</v>
      </c>
    </row>
    <row r="64" spans="1:5" x14ac:dyDescent="0.25">
      <c r="A64" t="s">
        <v>67</v>
      </c>
      <c r="B64" t="s">
        <v>511</v>
      </c>
      <c r="C64">
        <v>172</v>
      </c>
      <c r="D64">
        <v>74</v>
      </c>
      <c r="E64">
        <v>75.89</v>
      </c>
    </row>
    <row r="65" spans="1:5" x14ac:dyDescent="0.25">
      <c r="A65" t="s">
        <v>68</v>
      </c>
      <c r="B65" t="s">
        <v>511</v>
      </c>
      <c r="C65">
        <v>237</v>
      </c>
      <c r="D65">
        <v>51</v>
      </c>
      <c r="E65">
        <v>155.84</v>
      </c>
    </row>
    <row r="66" spans="1:5" x14ac:dyDescent="0.25">
      <c r="A66" t="s">
        <v>69</v>
      </c>
      <c r="B66" t="s">
        <v>507</v>
      </c>
      <c r="C66">
        <v>284</v>
      </c>
      <c r="D66">
        <v>92</v>
      </c>
      <c r="E66">
        <v>175.11</v>
      </c>
    </row>
    <row r="67" spans="1:5" x14ac:dyDescent="0.25">
      <c r="A67" t="s">
        <v>70</v>
      </c>
      <c r="B67" t="s">
        <v>508</v>
      </c>
      <c r="C67">
        <v>320</v>
      </c>
      <c r="D67">
        <v>63</v>
      </c>
      <c r="E67">
        <v>15.35</v>
      </c>
    </row>
    <row r="68" spans="1:5" x14ac:dyDescent="0.25">
      <c r="A68" t="s">
        <v>71</v>
      </c>
      <c r="B68" t="s">
        <v>508</v>
      </c>
      <c r="C68">
        <v>247</v>
      </c>
      <c r="D68">
        <v>77</v>
      </c>
      <c r="E68">
        <v>181.66</v>
      </c>
    </row>
    <row r="69" spans="1:5" x14ac:dyDescent="0.25">
      <c r="A69" t="s">
        <v>72</v>
      </c>
      <c r="B69" t="s">
        <v>506</v>
      </c>
      <c r="C69">
        <v>102</v>
      </c>
      <c r="D69">
        <v>64</v>
      </c>
      <c r="E69">
        <v>41.27</v>
      </c>
    </row>
    <row r="70" spans="1:5" x14ac:dyDescent="0.25">
      <c r="A70" t="s">
        <v>73</v>
      </c>
      <c r="B70" t="s">
        <v>510</v>
      </c>
      <c r="C70">
        <v>437</v>
      </c>
      <c r="D70">
        <v>89</v>
      </c>
      <c r="E70">
        <v>76.069999999999993</v>
      </c>
    </row>
    <row r="71" spans="1:5" x14ac:dyDescent="0.25">
      <c r="A71" t="s">
        <v>74</v>
      </c>
      <c r="B71" t="s">
        <v>511</v>
      </c>
      <c r="C71">
        <v>336</v>
      </c>
      <c r="D71">
        <v>25</v>
      </c>
      <c r="E71">
        <v>177.48</v>
      </c>
    </row>
    <row r="72" spans="1:5" x14ac:dyDescent="0.25">
      <c r="A72" t="s">
        <v>75</v>
      </c>
      <c r="B72" t="s">
        <v>510</v>
      </c>
      <c r="C72">
        <v>406</v>
      </c>
      <c r="D72">
        <v>57</v>
      </c>
      <c r="E72">
        <v>119.65</v>
      </c>
    </row>
    <row r="73" spans="1:5" x14ac:dyDescent="0.25">
      <c r="A73" t="s">
        <v>76</v>
      </c>
      <c r="B73" t="s">
        <v>507</v>
      </c>
      <c r="C73">
        <v>214</v>
      </c>
      <c r="D73">
        <v>91</v>
      </c>
      <c r="E73">
        <v>95.8</v>
      </c>
    </row>
    <row r="74" spans="1:5" x14ac:dyDescent="0.25">
      <c r="A74" t="s">
        <v>77</v>
      </c>
      <c r="B74" t="s">
        <v>510</v>
      </c>
      <c r="C74">
        <v>108</v>
      </c>
      <c r="D74">
        <v>56</v>
      </c>
      <c r="E74">
        <v>130.58000000000001</v>
      </c>
    </row>
    <row r="75" spans="1:5" x14ac:dyDescent="0.25">
      <c r="A75" t="s">
        <v>78</v>
      </c>
      <c r="B75" t="s">
        <v>505</v>
      </c>
      <c r="C75">
        <v>48</v>
      </c>
      <c r="D75">
        <v>84</v>
      </c>
      <c r="E75">
        <v>93.7</v>
      </c>
    </row>
    <row r="76" spans="1:5" x14ac:dyDescent="0.25">
      <c r="A76" t="s">
        <v>79</v>
      </c>
      <c r="B76" t="s">
        <v>509</v>
      </c>
      <c r="C76">
        <v>182</v>
      </c>
      <c r="D76">
        <v>77</v>
      </c>
      <c r="E76">
        <v>61.7</v>
      </c>
    </row>
    <row r="77" spans="1:5" x14ac:dyDescent="0.25">
      <c r="A77" t="s">
        <v>80</v>
      </c>
      <c r="B77" t="s">
        <v>509</v>
      </c>
      <c r="C77">
        <v>114</v>
      </c>
      <c r="D77">
        <v>49</v>
      </c>
      <c r="E77">
        <v>121.15</v>
      </c>
    </row>
    <row r="78" spans="1:5" x14ac:dyDescent="0.25">
      <c r="A78" t="s">
        <v>81</v>
      </c>
      <c r="B78" t="s">
        <v>508</v>
      </c>
      <c r="C78">
        <v>432</v>
      </c>
      <c r="D78">
        <v>62</v>
      </c>
      <c r="E78">
        <v>75.58</v>
      </c>
    </row>
    <row r="79" spans="1:5" x14ac:dyDescent="0.25">
      <c r="A79" t="s">
        <v>82</v>
      </c>
      <c r="B79" t="s">
        <v>511</v>
      </c>
      <c r="C79">
        <v>412</v>
      </c>
      <c r="D79">
        <v>79</v>
      </c>
      <c r="E79">
        <v>166.89</v>
      </c>
    </row>
    <row r="80" spans="1:5" x14ac:dyDescent="0.25">
      <c r="A80" t="s">
        <v>83</v>
      </c>
      <c r="B80" t="s">
        <v>510</v>
      </c>
      <c r="C80">
        <v>47</v>
      </c>
      <c r="D80">
        <v>52</v>
      </c>
      <c r="E80">
        <v>153.72999999999999</v>
      </c>
    </row>
    <row r="81" spans="1:5" x14ac:dyDescent="0.25">
      <c r="A81" t="s">
        <v>84</v>
      </c>
      <c r="B81" t="s">
        <v>509</v>
      </c>
      <c r="C81">
        <v>354</v>
      </c>
      <c r="D81">
        <v>59</v>
      </c>
      <c r="E81">
        <v>179.44</v>
      </c>
    </row>
    <row r="82" spans="1:5" x14ac:dyDescent="0.25">
      <c r="A82" t="s">
        <v>85</v>
      </c>
      <c r="B82" t="s">
        <v>505</v>
      </c>
      <c r="C82">
        <v>197</v>
      </c>
      <c r="D82">
        <v>67</v>
      </c>
      <c r="E82">
        <v>51.97</v>
      </c>
    </row>
    <row r="83" spans="1:5" x14ac:dyDescent="0.25">
      <c r="A83" t="s">
        <v>86</v>
      </c>
      <c r="B83" t="s">
        <v>505</v>
      </c>
      <c r="C83">
        <v>472</v>
      </c>
      <c r="D83">
        <v>36</v>
      </c>
      <c r="E83">
        <v>30.38</v>
      </c>
    </row>
    <row r="84" spans="1:5" x14ac:dyDescent="0.25">
      <c r="A84" t="s">
        <v>87</v>
      </c>
      <c r="B84" t="s">
        <v>511</v>
      </c>
      <c r="C84">
        <v>346</v>
      </c>
      <c r="D84">
        <v>97</v>
      </c>
      <c r="E84">
        <v>189.29</v>
      </c>
    </row>
    <row r="85" spans="1:5" x14ac:dyDescent="0.25">
      <c r="A85" t="s">
        <v>88</v>
      </c>
      <c r="B85" t="s">
        <v>505</v>
      </c>
      <c r="C85">
        <v>280</v>
      </c>
      <c r="D85">
        <v>77</v>
      </c>
      <c r="E85">
        <v>143.97999999999999</v>
      </c>
    </row>
    <row r="86" spans="1:5" x14ac:dyDescent="0.25">
      <c r="A86" t="s">
        <v>89</v>
      </c>
      <c r="B86" t="s">
        <v>509</v>
      </c>
      <c r="C86">
        <v>89</v>
      </c>
      <c r="D86">
        <v>66</v>
      </c>
      <c r="E86">
        <v>128.13999999999999</v>
      </c>
    </row>
    <row r="87" spans="1:5" x14ac:dyDescent="0.25">
      <c r="A87" t="s">
        <v>90</v>
      </c>
      <c r="B87" t="s">
        <v>509</v>
      </c>
      <c r="C87">
        <v>196</v>
      </c>
      <c r="D87">
        <v>33</v>
      </c>
      <c r="E87">
        <v>154.85</v>
      </c>
    </row>
    <row r="88" spans="1:5" x14ac:dyDescent="0.25">
      <c r="A88" t="s">
        <v>91</v>
      </c>
      <c r="B88" t="s">
        <v>506</v>
      </c>
      <c r="C88">
        <v>384</v>
      </c>
      <c r="D88">
        <v>28</v>
      </c>
      <c r="E88">
        <v>90.79</v>
      </c>
    </row>
    <row r="89" spans="1:5" x14ac:dyDescent="0.25">
      <c r="A89" t="s">
        <v>92</v>
      </c>
      <c r="B89" t="s">
        <v>509</v>
      </c>
      <c r="C89">
        <v>441</v>
      </c>
      <c r="D89">
        <v>36</v>
      </c>
      <c r="E89">
        <v>58.59</v>
      </c>
    </row>
    <row r="90" spans="1:5" x14ac:dyDescent="0.25">
      <c r="A90" t="s">
        <v>93</v>
      </c>
      <c r="B90" t="s">
        <v>510</v>
      </c>
      <c r="C90">
        <v>488</v>
      </c>
      <c r="D90">
        <v>27</v>
      </c>
      <c r="E90">
        <v>105.25</v>
      </c>
    </row>
    <row r="91" spans="1:5" x14ac:dyDescent="0.25">
      <c r="A91" t="s">
        <v>94</v>
      </c>
      <c r="B91" t="s">
        <v>506</v>
      </c>
      <c r="C91">
        <v>313</v>
      </c>
      <c r="D91">
        <v>35</v>
      </c>
      <c r="E91">
        <v>190.59</v>
      </c>
    </row>
    <row r="92" spans="1:5" x14ac:dyDescent="0.25">
      <c r="A92" t="s">
        <v>95</v>
      </c>
      <c r="B92" t="s">
        <v>508</v>
      </c>
      <c r="C92">
        <v>488</v>
      </c>
      <c r="D92">
        <v>77</v>
      </c>
      <c r="E92">
        <v>36.92</v>
      </c>
    </row>
    <row r="93" spans="1:5" x14ac:dyDescent="0.25">
      <c r="A93" t="s">
        <v>96</v>
      </c>
      <c r="B93" t="s">
        <v>506</v>
      </c>
      <c r="C93">
        <v>317</v>
      </c>
      <c r="D93">
        <v>91</v>
      </c>
      <c r="E93">
        <v>103.62</v>
      </c>
    </row>
    <row r="94" spans="1:5" x14ac:dyDescent="0.25">
      <c r="A94" t="s">
        <v>97</v>
      </c>
      <c r="B94" t="s">
        <v>509</v>
      </c>
      <c r="C94">
        <v>54</v>
      </c>
      <c r="D94">
        <v>91</v>
      </c>
      <c r="E94">
        <v>180.56</v>
      </c>
    </row>
    <row r="95" spans="1:5" x14ac:dyDescent="0.25">
      <c r="A95" t="s">
        <v>98</v>
      </c>
      <c r="B95" t="s">
        <v>508</v>
      </c>
      <c r="C95">
        <v>73</v>
      </c>
      <c r="D95">
        <v>24</v>
      </c>
      <c r="E95">
        <v>140.12</v>
      </c>
    </row>
    <row r="96" spans="1:5" x14ac:dyDescent="0.25">
      <c r="A96" t="s">
        <v>99</v>
      </c>
      <c r="B96" t="s">
        <v>510</v>
      </c>
      <c r="C96">
        <v>64</v>
      </c>
      <c r="D96">
        <v>36</v>
      </c>
      <c r="E96">
        <v>24.54</v>
      </c>
    </row>
    <row r="97" spans="1:5" x14ac:dyDescent="0.25">
      <c r="A97" t="s">
        <v>100</v>
      </c>
      <c r="B97" t="s">
        <v>509</v>
      </c>
      <c r="C97">
        <v>261</v>
      </c>
      <c r="D97">
        <v>89</v>
      </c>
      <c r="E97">
        <v>172.77</v>
      </c>
    </row>
    <row r="98" spans="1:5" x14ac:dyDescent="0.25">
      <c r="A98" t="s">
        <v>101</v>
      </c>
      <c r="B98" t="s">
        <v>511</v>
      </c>
      <c r="C98">
        <v>11</v>
      </c>
      <c r="D98">
        <v>22</v>
      </c>
      <c r="E98">
        <v>149.94999999999999</v>
      </c>
    </row>
    <row r="99" spans="1:5" x14ac:dyDescent="0.25">
      <c r="A99" t="s">
        <v>102</v>
      </c>
      <c r="B99" t="s">
        <v>510</v>
      </c>
      <c r="C99">
        <v>321</v>
      </c>
      <c r="D99">
        <v>61</v>
      </c>
      <c r="E99">
        <v>154.34</v>
      </c>
    </row>
    <row r="100" spans="1:5" x14ac:dyDescent="0.25">
      <c r="A100" t="s">
        <v>103</v>
      </c>
      <c r="B100" t="s">
        <v>509</v>
      </c>
      <c r="C100">
        <v>37</v>
      </c>
      <c r="D100">
        <v>71</v>
      </c>
      <c r="E100">
        <v>42.11</v>
      </c>
    </row>
    <row r="101" spans="1:5" x14ac:dyDescent="0.25">
      <c r="A101" t="s">
        <v>104</v>
      </c>
      <c r="B101" t="s">
        <v>506</v>
      </c>
      <c r="C101">
        <v>15</v>
      </c>
      <c r="D101">
        <v>66</v>
      </c>
      <c r="E101">
        <v>125.01</v>
      </c>
    </row>
    <row r="102" spans="1:5" x14ac:dyDescent="0.25">
      <c r="A102" t="s">
        <v>105</v>
      </c>
      <c r="B102" t="s">
        <v>506</v>
      </c>
      <c r="C102">
        <v>277</v>
      </c>
      <c r="D102">
        <v>88</v>
      </c>
      <c r="E102">
        <v>96.67</v>
      </c>
    </row>
    <row r="103" spans="1:5" x14ac:dyDescent="0.25">
      <c r="A103" t="s">
        <v>106</v>
      </c>
      <c r="B103" t="s">
        <v>509</v>
      </c>
      <c r="C103">
        <v>23</v>
      </c>
      <c r="D103">
        <v>34</v>
      </c>
      <c r="E103">
        <v>71.819999999999993</v>
      </c>
    </row>
    <row r="104" spans="1:5" x14ac:dyDescent="0.25">
      <c r="A104" t="s">
        <v>107</v>
      </c>
      <c r="B104" t="s">
        <v>509</v>
      </c>
      <c r="C104">
        <v>43</v>
      </c>
      <c r="D104">
        <v>77</v>
      </c>
      <c r="E104">
        <v>153.81</v>
      </c>
    </row>
    <row r="105" spans="1:5" x14ac:dyDescent="0.25">
      <c r="A105" t="s">
        <v>108</v>
      </c>
      <c r="B105" t="s">
        <v>505</v>
      </c>
      <c r="C105">
        <v>246</v>
      </c>
      <c r="D105">
        <v>67</v>
      </c>
      <c r="E105">
        <v>170.3</v>
      </c>
    </row>
    <row r="106" spans="1:5" x14ac:dyDescent="0.25">
      <c r="A106" t="s">
        <v>109</v>
      </c>
      <c r="B106" t="s">
        <v>508</v>
      </c>
      <c r="C106">
        <v>493</v>
      </c>
      <c r="D106">
        <v>54</v>
      </c>
      <c r="E106">
        <v>191.08</v>
      </c>
    </row>
    <row r="107" spans="1:5" x14ac:dyDescent="0.25">
      <c r="A107" t="s">
        <v>110</v>
      </c>
      <c r="B107" t="s">
        <v>509</v>
      </c>
      <c r="C107">
        <v>82</v>
      </c>
      <c r="D107">
        <v>68</v>
      </c>
      <c r="E107">
        <v>101.97</v>
      </c>
    </row>
    <row r="108" spans="1:5" x14ac:dyDescent="0.25">
      <c r="A108" t="s">
        <v>111</v>
      </c>
      <c r="B108" t="s">
        <v>508</v>
      </c>
      <c r="C108">
        <v>125</v>
      </c>
      <c r="D108">
        <v>48</v>
      </c>
      <c r="E108">
        <v>117.32</v>
      </c>
    </row>
    <row r="109" spans="1:5" x14ac:dyDescent="0.25">
      <c r="A109" t="s">
        <v>112</v>
      </c>
      <c r="B109" t="s">
        <v>506</v>
      </c>
      <c r="C109">
        <v>68</v>
      </c>
      <c r="D109">
        <v>27</v>
      </c>
      <c r="E109">
        <v>28.95</v>
      </c>
    </row>
    <row r="110" spans="1:5" x14ac:dyDescent="0.25">
      <c r="A110" t="s">
        <v>113</v>
      </c>
      <c r="B110" t="s">
        <v>510</v>
      </c>
      <c r="C110">
        <v>55</v>
      </c>
      <c r="D110">
        <v>69</v>
      </c>
      <c r="E110">
        <v>88.55</v>
      </c>
    </row>
    <row r="111" spans="1:5" x14ac:dyDescent="0.25">
      <c r="A111" t="s">
        <v>114</v>
      </c>
      <c r="B111" t="s">
        <v>508</v>
      </c>
      <c r="C111">
        <v>408</v>
      </c>
      <c r="D111">
        <v>76</v>
      </c>
      <c r="E111">
        <v>197.58</v>
      </c>
    </row>
    <row r="112" spans="1:5" x14ac:dyDescent="0.25">
      <c r="A112" t="s">
        <v>115</v>
      </c>
      <c r="B112" t="s">
        <v>507</v>
      </c>
      <c r="C112">
        <v>352</v>
      </c>
      <c r="D112">
        <v>34</v>
      </c>
      <c r="E112">
        <v>181.7</v>
      </c>
    </row>
    <row r="113" spans="1:5" x14ac:dyDescent="0.25">
      <c r="A113" t="s">
        <v>116</v>
      </c>
      <c r="B113" t="s">
        <v>506</v>
      </c>
      <c r="C113">
        <v>479</v>
      </c>
      <c r="D113">
        <v>47</v>
      </c>
      <c r="E113">
        <v>133.54</v>
      </c>
    </row>
    <row r="114" spans="1:5" x14ac:dyDescent="0.25">
      <c r="A114" t="s">
        <v>117</v>
      </c>
      <c r="B114" t="s">
        <v>511</v>
      </c>
      <c r="C114">
        <v>74</v>
      </c>
      <c r="D114">
        <v>50</v>
      </c>
      <c r="E114">
        <v>6.57</v>
      </c>
    </row>
    <row r="115" spans="1:5" x14ac:dyDescent="0.25">
      <c r="A115" t="s">
        <v>118</v>
      </c>
      <c r="B115" t="s">
        <v>511</v>
      </c>
      <c r="C115">
        <v>374</v>
      </c>
      <c r="D115">
        <v>68</v>
      </c>
      <c r="E115">
        <v>165.44</v>
      </c>
    </row>
    <row r="116" spans="1:5" x14ac:dyDescent="0.25">
      <c r="A116" t="s">
        <v>119</v>
      </c>
      <c r="B116" t="s">
        <v>509</v>
      </c>
      <c r="C116">
        <v>426</v>
      </c>
      <c r="D116">
        <v>75</v>
      </c>
      <c r="E116">
        <v>127.55</v>
      </c>
    </row>
    <row r="117" spans="1:5" x14ac:dyDescent="0.25">
      <c r="A117" t="s">
        <v>120</v>
      </c>
      <c r="B117" t="s">
        <v>505</v>
      </c>
      <c r="C117">
        <v>103</v>
      </c>
      <c r="D117">
        <v>76</v>
      </c>
      <c r="E117">
        <v>115.04</v>
      </c>
    </row>
    <row r="118" spans="1:5" x14ac:dyDescent="0.25">
      <c r="A118" t="s">
        <v>121</v>
      </c>
      <c r="B118" t="s">
        <v>506</v>
      </c>
      <c r="C118">
        <v>83</v>
      </c>
      <c r="D118">
        <v>58</v>
      </c>
      <c r="E118">
        <v>75.91</v>
      </c>
    </row>
    <row r="119" spans="1:5" x14ac:dyDescent="0.25">
      <c r="A119" t="s">
        <v>122</v>
      </c>
      <c r="B119" t="s">
        <v>505</v>
      </c>
      <c r="C119">
        <v>64</v>
      </c>
      <c r="D119">
        <v>41</v>
      </c>
      <c r="E119">
        <v>189.01</v>
      </c>
    </row>
    <row r="120" spans="1:5" x14ac:dyDescent="0.25">
      <c r="A120" t="s">
        <v>123</v>
      </c>
      <c r="B120" t="s">
        <v>509</v>
      </c>
      <c r="C120">
        <v>3</v>
      </c>
      <c r="D120">
        <v>97</v>
      </c>
      <c r="E120">
        <v>116.13</v>
      </c>
    </row>
    <row r="121" spans="1:5" x14ac:dyDescent="0.25">
      <c r="A121" t="s">
        <v>124</v>
      </c>
      <c r="B121" t="s">
        <v>505</v>
      </c>
      <c r="C121">
        <v>449</v>
      </c>
      <c r="D121">
        <v>67</v>
      </c>
      <c r="E121">
        <v>198.55</v>
      </c>
    </row>
    <row r="122" spans="1:5" x14ac:dyDescent="0.25">
      <c r="A122" t="s">
        <v>125</v>
      </c>
      <c r="B122" t="s">
        <v>506</v>
      </c>
      <c r="C122">
        <v>247</v>
      </c>
      <c r="D122">
        <v>23</v>
      </c>
      <c r="E122">
        <v>185.85</v>
      </c>
    </row>
    <row r="123" spans="1:5" x14ac:dyDescent="0.25">
      <c r="A123" t="s">
        <v>126</v>
      </c>
      <c r="B123" t="s">
        <v>509</v>
      </c>
      <c r="C123">
        <v>368</v>
      </c>
      <c r="D123">
        <v>94</v>
      </c>
      <c r="E123">
        <v>110.9</v>
      </c>
    </row>
    <row r="124" spans="1:5" x14ac:dyDescent="0.25">
      <c r="A124" t="s">
        <v>127</v>
      </c>
      <c r="B124" t="s">
        <v>507</v>
      </c>
      <c r="C124">
        <v>70</v>
      </c>
      <c r="D124">
        <v>31</v>
      </c>
      <c r="E124">
        <v>118.56</v>
      </c>
    </row>
    <row r="125" spans="1:5" x14ac:dyDescent="0.25">
      <c r="A125" t="s">
        <v>128</v>
      </c>
      <c r="B125" t="s">
        <v>510</v>
      </c>
      <c r="C125">
        <v>72</v>
      </c>
      <c r="D125">
        <v>86</v>
      </c>
      <c r="E125">
        <v>50.02</v>
      </c>
    </row>
    <row r="126" spans="1:5" x14ac:dyDescent="0.25">
      <c r="A126" t="s">
        <v>129</v>
      </c>
      <c r="B126" t="s">
        <v>509</v>
      </c>
      <c r="C126">
        <v>434</v>
      </c>
      <c r="D126">
        <v>96</v>
      </c>
      <c r="E126">
        <v>35.799999999999997</v>
      </c>
    </row>
    <row r="127" spans="1:5" x14ac:dyDescent="0.25">
      <c r="A127" t="s">
        <v>130</v>
      </c>
      <c r="B127" t="s">
        <v>506</v>
      </c>
      <c r="C127">
        <v>467</v>
      </c>
      <c r="D127">
        <v>70</v>
      </c>
      <c r="E127">
        <v>55.94</v>
      </c>
    </row>
    <row r="128" spans="1:5" x14ac:dyDescent="0.25">
      <c r="A128" t="s">
        <v>131</v>
      </c>
      <c r="B128" t="s">
        <v>510</v>
      </c>
      <c r="C128">
        <v>135</v>
      </c>
      <c r="D128">
        <v>79</v>
      </c>
      <c r="E128">
        <v>64.23</v>
      </c>
    </row>
    <row r="129" spans="1:5" x14ac:dyDescent="0.25">
      <c r="A129" t="s">
        <v>132</v>
      </c>
      <c r="B129" t="s">
        <v>505</v>
      </c>
      <c r="C129">
        <v>429</v>
      </c>
      <c r="D129">
        <v>48</v>
      </c>
      <c r="E129">
        <v>135.12</v>
      </c>
    </row>
    <row r="130" spans="1:5" x14ac:dyDescent="0.25">
      <c r="A130" t="s">
        <v>133</v>
      </c>
      <c r="B130" t="s">
        <v>507</v>
      </c>
      <c r="C130">
        <v>109</v>
      </c>
      <c r="D130">
        <v>84</v>
      </c>
      <c r="E130">
        <v>139.91</v>
      </c>
    </row>
    <row r="131" spans="1:5" x14ac:dyDescent="0.25">
      <c r="A131" t="s">
        <v>134</v>
      </c>
      <c r="B131" t="s">
        <v>508</v>
      </c>
      <c r="C131">
        <v>324</v>
      </c>
      <c r="D131">
        <v>93</v>
      </c>
      <c r="E131">
        <v>194.56</v>
      </c>
    </row>
    <row r="132" spans="1:5" x14ac:dyDescent="0.25">
      <c r="A132" t="s">
        <v>135</v>
      </c>
      <c r="B132" t="s">
        <v>511</v>
      </c>
      <c r="C132">
        <v>90</v>
      </c>
      <c r="D132">
        <v>90</v>
      </c>
      <c r="E132">
        <v>91.27</v>
      </c>
    </row>
    <row r="133" spans="1:5" x14ac:dyDescent="0.25">
      <c r="A133" t="s">
        <v>136</v>
      </c>
      <c r="B133" t="s">
        <v>508</v>
      </c>
      <c r="C133">
        <v>380</v>
      </c>
      <c r="D133">
        <v>29</v>
      </c>
      <c r="E133">
        <v>51.95</v>
      </c>
    </row>
    <row r="134" spans="1:5" x14ac:dyDescent="0.25">
      <c r="A134" t="s">
        <v>137</v>
      </c>
      <c r="B134" t="s">
        <v>507</v>
      </c>
      <c r="C134">
        <v>340</v>
      </c>
      <c r="D134">
        <v>48</v>
      </c>
      <c r="E134">
        <v>50.55</v>
      </c>
    </row>
    <row r="135" spans="1:5" x14ac:dyDescent="0.25">
      <c r="A135" t="s">
        <v>138</v>
      </c>
      <c r="B135" t="s">
        <v>507</v>
      </c>
      <c r="C135">
        <v>82</v>
      </c>
      <c r="D135">
        <v>98</v>
      </c>
      <c r="E135">
        <v>83.69</v>
      </c>
    </row>
    <row r="136" spans="1:5" x14ac:dyDescent="0.25">
      <c r="A136" t="s">
        <v>139</v>
      </c>
      <c r="B136" t="s">
        <v>505</v>
      </c>
      <c r="C136">
        <v>0</v>
      </c>
      <c r="D136">
        <v>98</v>
      </c>
      <c r="E136">
        <v>178.12</v>
      </c>
    </row>
    <row r="137" spans="1:5" x14ac:dyDescent="0.25">
      <c r="A137" t="s">
        <v>140</v>
      </c>
      <c r="B137" t="s">
        <v>506</v>
      </c>
      <c r="C137">
        <v>242</v>
      </c>
      <c r="D137">
        <v>61</v>
      </c>
      <c r="E137">
        <v>118.66</v>
      </c>
    </row>
    <row r="138" spans="1:5" x14ac:dyDescent="0.25">
      <c r="A138" t="s">
        <v>141</v>
      </c>
      <c r="B138" t="s">
        <v>506</v>
      </c>
      <c r="C138">
        <v>403</v>
      </c>
      <c r="D138">
        <v>99</v>
      </c>
      <c r="E138">
        <v>156.72</v>
      </c>
    </row>
    <row r="139" spans="1:5" x14ac:dyDescent="0.25">
      <c r="A139" t="s">
        <v>142</v>
      </c>
      <c r="B139" t="s">
        <v>508</v>
      </c>
      <c r="C139">
        <v>301</v>
      </c>
      <c r="D139">
        <v>52</v>
      </c>
      <c r="E139">
        <v>68.489999999999995</v>
      </c>
    </row>
    <row r="140" spans="1:5" x14ac:dyDescent="0.25">
      <c r="A140" t="s">
        <v>143</v>
      </c>
      <c r="B140" t="s">
        <v>510</v>
      </c>
      <c r="C140">
        <v>92</v>
      </c>
      <c r="D140">
        <v>83</v>
      </c>
      <c r="E140">
        <v>21.68</v>
      </c>
    </row>
    <row r="141" spans="1:5" x14ac:dyDescent="0.25">
      <c r="A141" t="s">
        <v>144</v>
      </c>
      <c r="B141" t="s">
        <v>506</v>
      </c>
      <c r="C141">
        <v>453</v>
      </c>
      <c r="D141">
        <v>94</v>
      </c>
      <c r="E141">
        <v>8.67</v>
      </c>
    </row>
    <row r="142" spans="1:5" x14ac:dyDescent="0.25">
      <c r="A142" t="s">
        <v>145</v>
      </c>
      <c r="B142" t="s">
        <v>506</v>
      </c>
      <c r="C142">
        <v>348</v>
      </c>
      <c r="D142">
        <v>48</v>
      </c>
      <c r="E142">
        <v>114.6</v>
      </c>
    </row>
    <row r="143" spans="1:5" x14ac:dyDescent="0.25">
      <c r="A143" t="s">
        <v>146</v>
      </c>
      <c r="B143" t="s">
        <v>509</v>
      </c>
      <c r="C143">
        <v>128</v>
      </c>
      <c r="D143">
        <v>82</v>
      </c>
      <c r="E143">
        <v>169.07</v>
      </c>
    </row>
    <row r="144" spans="1:5" x14ac:dyDescent="0.25">
      <c r="A144" t="s">
        <v>147</v>
      </c>
      <c r="B144" t="s">
        <v>508</v>
      </c>
      <c r="C144">
        <v>325</v>
      </c>
      <c r="D144">
        <v>100</v>
      </c>
      <c r="E144">
        <v>86.86</v>
      </c>
    </row>
    <row r="145" spans="1:5" x14ac:dyDescent="0.25">
      <c r="A145" t="s">
        <v>148</v>
      </c>
      <c r="B145" t="s">
        <v>505</v>
      </c>
      <c r="C145">
        <v>230</v>
      </c>
      <c r="D145">
        <v>45</v>
      </c>
      <c r="E145">
        <v>96.41</v>
      </c>
    </row>
    <row r="146" spans="1:5" x14ac:dyDescent="0.25">
      <c r="A146" t="s">
        <v>149</v>
      </c>
      <c r="B146" t="s">
        <v>509</v>
      </c>
      <c r="C146">
        <v>108</v>
      </c>
      <c r="D146">
        <v>45</v>
      </c>
      <c r="E146">
        <v>95.59</v>
      </c>
    </row>
    <row r="147" spans="1:5" x14ac:dyDescent="0.25">
      <c r="A147" t="s">
        <v>150</v>
      </c>
      <c r="B147" t="s">
        <v>508</v>
      </c>
      <c r="C147">
        <v>44</v>
      </c>
      <c r="D147">
        <v>47</v>
      </c>
      <c r="E147">
        <v>103.73</v>
      </c>
    </row>
    <row r="148" spans="1:5" x14ac:dyDescent="0.25">
      <c r="A148" t="s">
        <v>151</v>
      </c>
      <c r="B148" t="s">
        <v>507</v>
      </c>
      <c r="C148">
        <v>95</v>
      </c>
      <c r="D148">
        <v>56</v>
      </c>
      <c r="E148">
        <v>77.41</v>
      </c>
    </row>
    <row r="149" spans="1:5" x14ac:dyDescent="0.25">
      <c r="A149" t="s">
        <v>152</v>
      </c>
      <c r="B149" t="s">
        <v>510</v>
      </c>
      <c r="C149">
        <v>112</v>
      </c>
      <c r="D149">
        <v>69</v>
      </c>
      <c r="E149">
        <v>102.27</v>
      </c>
    </row>
    <row r="150" spans="1:5" x14ac:dyDescent="0.25">
      <c r="A150" t="s">
        <v>153</v>
      </c>
      <c r="B150" t="s">
        <v>506</v>
      </c>
      <c r="C150">
        <v>369</v>
      </c>
      <c r="D150">
        <v>97</v>
      </c>
      <c r="E150">
        <v>143.97999999999999</v>
      </c>
    </row>
    <row r="151" spans="1:5" x14ac:dyDescent="0.25">
      <c r="A151" t="s">
        <v>154</v>
      </c>
      <c r="B151" t="s">
        <v>508</v>
      </c>
      <c r="C151">
        <v>457</v>
      </c>
      <c r="D151">
        <v>59</v>
      </c>
      <c r="E151">
        <v>40.92</v>
      </c>
    </row>
    <row r="152" spans="1:5" x14ac:dyDescent="0.25">
      <c r="A152" t="s">
        <v>155</v>
      </c>
      <c r="B152" t="s">
        <v>511</v>
      </c>
      <c r="C152">
        <v>170</v>
      </c>
      <c r="D152">
        <v>92</v>
      </c>
      <c r="E152">
        <v>11.78</v>
      </c>
    </row>
    <row r="153" spans="1:5" x14ac:dyDescent="0.25">
      <c r="A153" t="s">
        <v>156</v>
      </c>
      <c r="B153" t="s">
        <v>505</v>
      </c>
      <c r="C153">
        <v>316</v>
      </c>
      <c r="D153">
        <v>88</v>
      </c>
      <c r="E153">
        <v>41.04</v>
      </c>
    </row>
    <row r="154" spans="1:5" x14ac:dyDescent="0.25">
      <c r="A154" t="s">
        <v>157</v>
      </c>
      <c r="B154" t="s">
        <v>511</v>
      </c>
      <c r="C154">
        <v>234</v>
      </c>
      <c r="D154">
        <v>69</v>
      </c>
      <c r="E154">
        <v>132.61000000000001</v>
      </c>
    </row>
    <row r="155" spans="1:5" x14ac:dyDescent="0.25">
      <c r="A155" t="s">
        <v>158</v>
      </c>
      <c r="B155" t="s">
        <v>511</v>
      </c>
      <c r="C155">
        <v>319</v>
      </c>
      <c r="D155">
        <v>92</v>
      </c>
      <c r="E155">
        <v>20.67</v>
      </c>
    </row>
    <row r="156" spans="1:5" x14ac:dyDescent="0.25">
      <c r="A156" t="s">
        <v>159</v>
      </c>
      <c r="B156" t="s">
        <v>509</v>
      </c>
      <c r="C156">
        <v>99</v>
      </c>
      <c r="D156">
        <v>94</v>
      </c>
      <c r="E156">
        <v>159.72</v>
      </c>
    </row>
    <row r="157" spans="1:5" x14ac:dyDescent="0.25">
      <c r="A157" t="s">
        <v>160</v>
      </c>
      <c r="B157" t="s">
        <v>506</v>
      </c>
      <c r="C157">
        <v>499</v>
      </c>
      <c r="D157">
        <v>52</v>
      </c>
      <c r="E157">
        <v>119.94</v>
      </c>
    </row>
    <row r="158" spans="1:5" x14ac:dyDescent="0.25">
      <c r="A158" t="s">
        <v>161</v>
      </c>
      <c r="B158" t="s">
        <v>507</v>
      </c>
      <c r="C158">
        <v>339</v>
      </c>
      <c r="D158">
        <v>22</v>
      </c>
      <c r="E158">
        <v>14.99</v>
      </c>
    </row>
    <row r="159" spans="1:5" x14ac:dyDescent="0.25">
      <c r="A159" t="s">
        <v>162</v>
      </c>
      <c r="B159" t="s">
        <v>510</v>
      </c>
      <c r="C159">
        <v>172</v>
      </c>
      <c r="D159">
        <v>41</v>
      </c>
      <c r="E159">
        <v>133.44999999999999</v>
      </c>
    </row>
    <row r="160" spans="1:5" x14ac:dyDescent="0.25">
      <c r="A160" t="s">
        <v>163</v>
      </c>
      <c r="B160" t="s">
        <v>511</v>
      </c>
      <c r="C160">
        <v>406</v>
      </c>
      <c r="D160">
        <v>41</v>
      </c>
      <c r="E160">
        <v>108.66</v>
      </c>
    </row>
    <row r="161" spans="1:5" x14ac:dyDescent="0.25">
      <c r="A161" t="s">
        <v>164</v>
      </c>
      <c r="B161" t="s">
        <v>505</v>
      </c>
      <c r="C161">
        <v>127</v>
      </c>
      <c r="D161">
        <v>50</v>
      </c>
      <c r="E161">
        <v>37.79</v>
      </c>
    </row>
    <row r="162" spans="1:5" x14ac:dyDescent="0.25">
      <c r="A162" t="s">
        <v>165</v>
      </c>
      <c r="B162" t="s">
        <v>507</v>
      </c>
      <c r="C162">
        <v>1</v>
      </c>
      <c r="D162">
        <v>62</v>
      </c>
      <c r="E162">
        <v>42.53</v>
      </c>
    </row>
    <row r="163" spans="1:5" x14ac:dyDescent="0.25">
      <c r="A163" t="s">
        <v>166</v>
      </c>
      <c r="B163" t="s">
        <v>505</v>
      </c>
      <c r="C163">
        <v>13</v>
      </c>
      <c r="D163">
        <v>96</v>
      </c>
      <c r="E163">
        <v>172.49</v>
      </c>
    </row>
    <row r="164" spans="1:5" x14ac:dyDescent="0.25">
      <c r="A164" t="s">
        <v>167</v>
      </c>
      <c r="B164" t="s">
        <v>511</v>
      </c>
      <c r="C164">
        <v>57</v>
      </c>
      <c r="D164">
        <v>67</v>
      </c>
      <c r="E164">
        <v>114.89</v>
      </c>
    </row>
    <row r="165" spans="1:5" x14ac:dyDescent="0.25">
      <c r="A165" t="s">
        <v>168</v>
      </c>
      <c r="B165" t="s">
        <v>510</v>
      </c>
      <c r="C165">
        <v>469</v>
      </c>
      <c r="D165">
        <v>50</v>
      </c>
      <c r="E165">
        <v>25.72</v>
      </c>
    </row>
    <row r="166" spans="1:5" x14ac:dyDescent="0.25">
      <c r="A166" t="s">
        <v>169</v>
      </c>
      <c r="B166" t="s">
        <v>507</v>
      </c>
      <c r="C166">
        <v>387</v>
      </c>
      <c r="D166">
        <v>98</v>
      </c>
      <c r="E166">
        <v>98.29</v>
      </c>
    </row>
    <row r="167" spans="1:5" x14ac:dyDescent="0.25">
      <c r="A167" t="s">
        <v>170</v>
      </c>
      <c r="B167" t="s">
        <v>505</v>
      </c>
      <c r="C167">
        <v>440</v>
      </c>
      <c r="D167">
        <v>43</v>
      </c>
      <c r="E167">
        <v>8.98</v>
      </c>
    </row>
    <row r="168" spans="1:5" x14ac:dyDescent="0.25">
      <c r="A168" t="s">
        <v>171</v>
      </c>
      <c r="B168" t="s">
        <v>511</v>
      </c>
      <c r="C168">
        <v>426</v>
      </c>
      <c r="D168">
        <v>80</v>
      </c>
      <c r="E168">
        <v>185.42</v>
      </c>
    </row>
    <row r="169" spans="1:5" x14ac:dyDescent="0.25">
      <c r="A169" t="s">
        <v>172</v>
      </c>
      <c r="B169" t="s">
        <v>511</v>
      </c>
      <c r="C169">
        <v>317</v>
      </c>
      <c r="D169">
        <v>68</v>
      </c>
      <c r="E169">
        <v>152.06</v>
      </c>
    </row>
    <row r="170" spans="1:5" x14ac:dyDescent="0.25">
      <c r="A170" t="s">
        <v>173</v>
      </c>
      <c r="B170" t="s">
        <v>505</v>
      </c>
      <c r="C170">
        <v>38</v>
      </c>
      <c r="D170">
        <v>22</v>
      </c>
      <c r="E170">
        <v>175.2</v>
      </c>
    </row>
    <row r="171" spans="1:5" x14ac:dyDescent="0.25">
      <c r="A171" t="s">
        <v>174</v>
      </c>
      <c r="B171" t="s">
        <v>509</v>
      </c>
      <c r="C171">
        <v>178</v>
      </c>
      <c r="D171">
        <v>46</v>
      </c>
      <c r="E171">
        <v>126.5</v>
      </c>
    </row>
    <row r="172" spans="1:5" x14ac:dyDescent="0.25">
      <c r="A172" t="s">
        <v>175</v>
      </c>
      <c r="B172" t="s">
        <v>509</v>
      </c>
      <c r="C172">
        <v>237</v>
      </c>
      <c r="D172">
        <v>65</v>
      </c>
      <c r="E172">
        <v>174.24</v>
      </c>
    </row>
    <row r="173" spans="1:5" x14ac:dyDescent="0.25">
      <c r="A173" t="s">
        <v>176</v>
      </c>
      <c r="B173" t="s">
        <v>511</v>
      </c>
      <c r="C173">
        <v>180</v>
      </c>
      <c r="D173">
        <v>92</v>
      </c>
      <c r="E173">
        <v>108.19</v>
      </c>
    </row>
    <row r="174" spans="1:5" x14ac:dyDescent="0.25">
      <c r="A174" t="s">
        <v>177</v>
      </c>
      <c r="B174" t="s">
        <v>507</v>
      </c>
      <c r="C174">
        <v>56</v>
      </c>
      <c r="D174">
        <v>64</v>
      </c>
      <c r="E174">
        <v>30.21</v>
      </c>
    </row>
    <row r="175" spans="1:5" x14ac:dyDescent="0.25">
      <c r="A175" t="s">
        <v>178</v>
      </c>
      <c r="B175" t="s">
        <v>510</v>
      </c>
      <c r="C175">
        <v>60</v>
      </c>
      <c r="D175">
        <v>74</v>
      </c>
      <c r="E175">
        <v>39.99</v>
      </c>
    </row>
    <row r="176" spans="1:5" x14ac:dyDescent="0.25">
      <c r="A176" t="s">
        <v>179</v>
      </c>
      <c r="B176" t="s">
        <v>510</v>
      </c>
      <c r="C176">
        <v>324</v>
      </c>
      <c r="D176">
        <v>33</v>
      </c>
      <c r="E176">
        <v>125.97</v>
      </c>
    </row>
    <row r="177" spans="1:5" x14ac:dyDescent="0.25">
      <c r="A177" t="s">
        <v>180</v>
      </c>
      <c r="B177" t="s">
        <v>511</v>
      </c>
      <c r="C177">
        <v>355</v>
      </c>
      <c r="D177">
        <v>60</v>
      </c>
      <c r="E177">
        <v>27.41</v>
      </c>
    </row>
    <row r="178" spans="1:5" x14ac:dyDescent="0.25">
      <c r="A178" t="s">
        <v>181</v>
      </c>
      <c r="B178" t="s">
        <v>510</v>
      </c>
      <c r="C178">
        <v>389</v>
      </c>
      <c r="D178">
        <v>30</v>
      </c>
      <c r="E178">
        <v>120.88</v>
      </c>
    </row>
    <row r="179" spans="1:5" x14ac:dyDescent="0.25">
      <c r="A179" t="s">
        <v>182</v>
      </c>
      <c r="B179" t="s">
        <v>511</v>
      </c>
      <c r="C179">
        <v>53</v>
      </c>
      <c r="D179">
        <v>47</v>
      </c>
      <c r="E179">
        <v>126.32</v>
      </c>
    </row>
    <row r="180" spans="1:5" x14ac:dyDescent="0.25">
      <c r="A180" t="s">
        <v>183</v>
      </c>
      <c r="B180" t="s">
        <v>505</v>
      </c>
      <c r="C180">
        <v>273</v>
      </c>
      <c r="D180">
        <v>60</v>
      </c>
      <c r="E180">
        <v>32.35</v>
      </c>
    </row>
    <row r="181" spans="1:5" x14ac:dyDescent="0.25">
      <c r="A181" t="s">
        <v>184</v>
      </c>
      <c r="B181" t="s">
        <v>511</v>
      </c>
      <c r="C181">
        <v>27</v>
      </c>
      <c r="D181">
        <v>57</v>
      </c>
      <c r="E181">
        <v>14.36</v>
      </c>
    </row>
    <row r="182" spans="1:5" x14ac:dyDescent="0.25">
      <c r="A182" t="s">
        <v>185</v>
      </c>
      <c r="B182" t="s">
        <v>509</v>
      </c>
      <c r="C182">
        <v>357</v>
      </c>
      <c r="D182">
        <v>44</v>
      </c>
      <c r="E182">
        <v>5.73</v>
      </c>
    </row>
    <row r="183" spans="1:5" x14ac:dyDescent="0.25">
      <c r="A183" t="s">
        <v>186</v>
      </c>
      <c r="B183" t="s">
        <v>505</v>
      </c>
      <c r="C183">
        <v>414</v>
      </c>
      <c r="D183">
        <v>25</v>
      </c>
      <c r="E183">
        <v>33.65</v>
      </c>
    </row>
    <row r="184" spans="1:5" x14ac:dyDescent="0.25">
      <c r="A184" t="s">
        <v>187</v>
      </c>
      <c r="B184" t="s">
        <v>510</v>
      </c>
      <c r="C184">
        <v>406</v>
      </c>
      <c r="D184">
        <v>62</v>
      </c>
      <c r="E184">
        <v>199.33</v>
      </c>
    </row>
    <row r="185" spans="1:5" x14ac:dyDescent="0.25">
      <c r="A185" t="s">
        <v>188</v>
      </c>
      <c r="B185" t="s">
        <v>509</v>
      </c>
      <c r="C185">
        <v>422</v>
      </c>
      <c r="D185">
        <v>78</v>
      </c>
      <c r="E185">
        <v>178.68</v>
      </c>
    </row>
    <row r="186" spans="1:5" x14ac:dyDescent="0.25">
      <c r="A186" t="s">
        <v>189</v>
      </c>
      <c r="B186" t="s">
        <v>507</v>
      </c>
      <c r="C186">
        <v>37</v>
      </c>
      <c r="D186">
        <v>49</v>
      </c>
      <c r="E186">
        <v>159.78</v>
      </c>
    </row>
    <row r="187" spans="1:5" x14ac:dyDescent="0.25">
      <c r="A187" t="s">
        <v>190</v>
      </c>
      <c r="B187" t="s">
        <v>506</v>
      </c>
      <c r="C187">
        <v>51</v>
      </c>
      <c r="D187">
        <v>26</v>
      </c>
      <c r="E187">
        <v>70.77</v>
      </c>
    </row>
    <row r="188" spans="1:5" x14ac:dyDescent="0.25">
      <c r="A188" t="s">
        <v>191</v>
      </c>
      <c r="B188" t="s">
        <v>510</v>
      </c>
      <c r="C188">
        <v>92</v>
      </c>
      <c r="D188">
        <v>40</v>
      </c>
      <c r="E188">
        <v>80.959999999999994</v>
      </c>
    </row>
    <row r="189" spans="1:5" x14ac:dyDescent="0.25">
      <c r="A189" t="s">
        <v>192</v>
      </c>
      <c r="B189" t="s">
        <v>505</v>
      </c>
      <c r="C189">
        <v>173</v>
      </c>
      <c r="D189">
        <v>95</v>
      </c>
      <c r="E189">
        <v>34.26</v>
      </c>
    </row>
    <row r="190" spans="1:5" x14ac:dyDescent="0.25">
      <c r="A190" t="s">
        <v>193</v>
      </c>
      <c r="B190" t="s">
        <v>509</v>
      </c>
      <c r="C190">
        <v>293</v>
      </c>
      <c r="D190">
        <v>81</v>
      </c>
      <c r="E190">
        <v>117.96</v>
      </c>
    </row>
    <row r="191" spans="1:5" x14ac:dyDescent="0.25">
      <c r="A191" t="s">
        <v>194</v>
      </c>
      <c r="B191" t="s">
        <v>507</v>
      </c>
      <c r="C191">
        <v>157</v>
      </c>
      <c r="D191">
        <v>68</v>
      </c>
      <c r="E191">
        <v>90.46</v>
      </c>
    </row>
    <row r="192" spans="1:5" x14ac:dyDescent="0.25">
      <c r="A192" t="s">
        <v>195</v>
      </c>
      <c r="B192" t="s">
        <v>508</v>
      </c>
      <c r="C192">
        <v>448</v>
      </c>
      <c r="D192">
        <v>53</v>
      </c>
      <c r="E192">
        <v>152.66999999999999</v>
      </c>
    </row>
    <row r="193" spans="1:5" x14ac:dyDescent="0.25">
      <c r="A193" t="s">
        <v>196</v>
      </c>
      <c r="B193" t="s">
        <v>508</v>
      </c>
      <c r="C193">
        <v>257</v>
      </c>
      <c r="D193">
        <v>46</v>
      </c>
      <c r="E193">
        <v>119.23</v>
      </c>
    </row>
    <row r="194" spans="1:5" x14ac:dyDescent="0.25">
      <c r="A194" t="s">
        <v>197</v>
      </c>
      <c r="B194" t="s">
        <v>510</v>
      </c>
      <c r="C194">
        <v>132</v>
      </c>
      <c r="D194">
        <v>55</v>
      </c>
      <c r="E194">
        <v>30.93</v>
      </c>
    </row>
    <row r="195" spans="1:5" x14ac:dyDescent="0.25">
      <c r="A195" t="s">
        <v>198</v>
      </c>
      <c r="B195" t="s">
        <v>509</v>
      </c>
      <c r="C195">
        <v>462</v>
      </c>
      <c r="D195">
        <v>56</v>
      </c>
      <c r="E195">
        <v>69.849999999999994</v>
      </c>
    </row>
    <row r="196" spans="1:5" x14ac:dyDescent="0.25">
      <c r="A196" t="s">
        <v>199</v>
      </c>
      <c r="B196" t="s">
        <v>507</v>
      </c>
      <c r="C196">
        <v>342</v>
      </c>
      <c r="D196">
        <v>98</v>
      </c>
      <c r="E196">
        <v>24.8</v>
      </c>
    </row>
    <row r="197" spans="1:5" x14ac:dyDescent="0.25">
      <c r="A197" t="s">
        <v>200</v>
      </c>
      <c r="B197" t="s">
        <v>509</v>
      </c>
      <c r="C197">
        <v>104</v>
      </c>
      <c r="D197">
        <v>37</v>
      </c>
      <c r="E197">
        <v>184.82</v>
      </c>
    </row>
    <row r="198" spans="1:5" x14ac:dyDescent="0.25">
      <c r="A198" t="s">
        <v>201</v>
      </c>
      <c r="B198" t="s">
        <v>507</v>
      </c>
      <c r="C198">
        <v>493</v>
      </c>
      <c r="D198">
        <v>64</v>
      </c>
      <c r="E198">
        <v>148.71</v>
      </c>
    </row>
    <row r="199" spans="1:5" x14ac:dyDescent="0.25">
      <c r="A199" t="s">
        <v>202</v>
      </c>
      <c r="B199" t="s">
        <v>507</v>
      </c>
      <c r="C199">
        <v>212</v>
      </c>
      <c r="D199">
        <v>95</v>
      </c>
      <c r="E199">
        <v>146.97999999999999</v>
      </c>
    </row>
    <row r="200" spans="1:5" x14ac:dyDescent="0.25">
      <c r="A200" t="s">
        <v>203</v>
      </c>
      <c r="B200" t="s">
        <v>507</v>
      </c>
      <c r="C200">
        <v>337</v>
      </c>
      <c r="D200">
        <v>49</v>
      </c>
      <c r="E200">
        <v>15.87</v>
      </c>
    </row>
    <row r="201" spans="1:5" x14ac:dyDescent="0.25">
      <c r="A201" t="s">
        <v>204</v>
      </c>
      <c r="B201" t="s">
        <v>509</v>
      </c>
      <c r="C201">
        <v>71</v>
      </c>
      <c r="D201">
        <v>50</v>
      </c>
      <c r="E201">
        <v>38.58</v>
      </c>
    </row>
    <row r="202" spans="1:5" x14ac:dyDescent="0.25">
      <c r="A202" t="s">
        <v>205</v>
      </c>
      <c r="B202" t="s">
        <v>506</v>
      </c>
      <c r="C202">
        <v>89</v>
      </c>
      <c r="D202">
        <v>31</v>
      </c>
      <c r="E202">
        <v>142.34</v>
      </c>
    </row>
    <row r="203" spans="1:5" x14ac:dyDescent="0.25">
      <c r="A203" t="s">
        <v>206</v>
      </c>
      <c r="B203" t="s">
        <v>511</v>
      </c>
      <c r="C203">
        <v>70</v>
      </c>
      <c r="D203">
        <v>73</v>
      </c>
      <c r="E203">
        <v>49.38</v>
      </c>
    </row>
    <row r="204" spans="1:5" x14ac:dyDescent="0.25">
      <c r="A204" t="s">
        <v>207</v>
      </c>
      <c r="B204" t="s">
        <v>505</v>
      </c>
      <c r="C204">
        <v>331</v>
      </c>
      <c r="D204">
        <v>85</v>
      </c>
      <c r="E204">
        <v>101.27</v>
      </c>
    </row>
    <row r="205" spans="1:5" x14ac:dyDescent="0.25">
      <c r="A205" t="s">
        <v>208</v>
      </c>
      <c r="B205" t="s">
        <v>507</v>
      </c>
      <c r="C205">
        <v>357</v>
      </c>
      <c r="D205">
        <v>82</v>
      </c>
      <c r="E205">
        <v>100.15</v>
      </c>
    </row>
    <row r="206" spans="1:5" x14ac:dyDescent="0.25">
      <c r="A206" t="s">
        <v>209</v>
      </c>
      <c r="B206" t="s">
        <v>506</v>
      </c>
      <c r="C206">
        <v>443</v>
      </c>
      <c r="D206">
        <v>61</v>
      </c>
      <c r="E206">
        <v>88.96</v>
      </c>
    </row>
    <row r="207" spans="1:5" x14ac:dyDescent="0.25">
      <c r="A207" t="s">
        <v>210</v>
      </c>
      <c r="B207" t="s">
        <v>506</v>
      </c>
      <c r="C207">
        <v>442</v>
      </c>
      <c r="D207">
        <v>61</v>
      </c>
      <c r="E207">
        <v>74.94</v>
      </c>
    </row>
    <row r="208" spans="1:5" x14ac:dyDescent="0.25">
      <c r="A208" t="s">
        <v>211</v>
      </c>
      <c r="B208" t="s">
        <v>508</v>
      </c>
      <c r="C208">
        <v>500</v>
      </c>
      <c r="D208">
        <v>62</v>
      </c>
      <c r="E208">
        <v>141.46</v>
      </c>
    </row>
    <row r="209" spans="1:5" x14ac:dyDescent="0.25">
      <c r="A209" t="s">
        <v>212</v>
      </c>
      <c r="B209" t="s">
        <v>510</v>
      </c>
      <c r="C209">
        <v>497</v>
      </c>
      <c r="D209">
        <v>74</v>
      </c>
      <c r="E209">
        <v>159.19</v>
      </c>
    </row>
    <row r="210" spans="1:5" x14ac:dyDescent="0.25">
      <c r="A210" t="s">
        <v>213</v>
      </c>
      <c r="B210" t="s">
        <v>505</v>
      </c>
      <c r="C210">
        <v>440</v>
      </c>
      <c r="D210">
        <v>47</v>
      </c>
      <c r="E210">
        <v>154.55000000000001</v>
      </c>
    </row>
    <row r="211" spans="1:5" x14ac:dyDescent="0.25">
      <c r="A211" t="s">
        <v>214</v>
      </c>
      <c r="B211" t="s">
        <v>511</v>
      </c>
      <c r="C211">
        <v>468</v>
      </c>
      <c r="D211">
        <v>99</v>
      </c>
      <c r="E211">
        <v>4.8899999999999997</v>
      </c>
    </row>
    <row r="212" spans="1:5" x14ac:dyDescent="0.25">
      <c r="A212" t="s">
        <v>215</v>
      </c>
      <c r="B212" t="s">
        <v>511</v>
      </c>
      <c r="C212">
        <v>484</v>
      </c>
      <c r="D212">
        <v>89</v>
      </c>
      <c r="E212">
        <v>121.81</v>
      </c>
    </row>
    <row r="213" spans="1:5" x14ac:dyDescent="0.25">
      <c r="A213" t="s">
        <v>216</v>
      </c>
      <c r="B213" t="s">
        <v>506</v>
      </c>
      <c r="C213">
        <v>262</v>
      </c>
      <c r="D213">
        <v>60</v>
      </c>
      <c r="E213">
        <v>157.86000000000001</v>
      </c>
    </row>
    <row r="214" spans="1:5" x14ac:dyDescent="0.25">
      <c r="A214" t="s">
        <v>217</v>
      </c>
      <c r="B214" t="s">
        <v>507</v>
      </c>
      <c r="C214">
        <v>378</v>
      </c>
      <c r="D214">
        <v>64</v>
      </c>
      <c r="E214">
        <v>13.9</v>
      </c>
    </row>
    <row r="215" spans="1:5" x14ac:dyDescent="0.25">
      <c r="A215" t="s">
        <v>218</v>
      </c>
      <c r="B215" t="s">
        <v>506</v>
      </c>
      <c r="C215">
        <v>166</v>
      </c>
      <c r="D215">
        <v>94</v>
      </c>
      <c r="E215">
        <v>30.06</v>
      </c>
    </row>
    <row r="216" spans="1:5" x14ac:dyDescent="0.25">
      <c r="A216" t="s">
        <v>219</v>
      </c>
      <c r="B216" t="s">
        <v>511</v>
      </c>
      <c r="C216">
        <v>497</v>
      </c>
      <c r="D216">
        <v>60</v>
      </c>
      <c r="E216">
        <v>114.2</v>
      </c>
    </row>
    <row r="217" spans="1:5" x14ac:dyDescent="0.25">
      <c r="A217" t="s">
        <v>220</v>
      </c>
      <c r="B217" t="s">
        <v>508</v>
      </c>
      <c r="C217">
        <v>146</v>
      </c>
      <c r="D217">
        <v>39</v>
      </c>
      <c r="E217">
        <v>104.28</v>
      </c>
    </row>
    <row r="218" spans="1:5" x14ac:dyDescent="0.25">
      <c r="A218" t="s">
        <v>221</v>
      </c>
      <c r="B218" t="s">
        <v>507</v>
      </c>
      <c r="C218">
        <v>363</v>
      </c>
      <c r="D218">
        <v>78</v>
      </c>
      <c r="E218">
        <v>18.68</v>
      </c>
    </row>
    <row r="219" spans="1:5" x14ac:dyDescent="0.25">
      <c r="A219" t="s">
        <v>222</v>
      </c>
      <c r="B219" t="s">
        <v>509</v>
      </c>
      <c r="C219">
        <v>350</v>
      </c>
      <c r="D219">
        <v>49</v>
      </c>
      <c r="E219">
        <v>136.4</v>
      </c>
    </row>
    <row r="220" spans="1:5" x14ac:dyDescent="0.25">
      <c r="A220" t="s">
        <v>223</v>
      </c>
      <c r="B220" t="s">
        <v>505</v>
      </c>
      <c r="C220">
        <v>435</v>
      </c>
      <c r="D220">
        <v>54</v>
      </c>
      <c r="E220">
        <v>8.35</v>
      </c>
    </row>
    <row r="221" spans="1:5" x14ac:dyDescent="0.25">
      <c r="A221" t="s">
        <v>224</v>
      </c>
      <c r="B221" t="s">
        <v>510</v>
      </c>
      <c r="C221">
        <v>419</v>
      </c>
      <c r="D221">
        <v>79</v>
      </c>
      <c r="E221">
        <v>182.07</v>
      </c>
    </row>
    <row r="222" spans="1:5" x14ac:dyDescent="0.25">
      <c r="A222" t="s">
        <v>225</v>
      </c>
      <c r="B222" t="s">
        <v>506</v>
      </c>
      <c r="C222">
        <v>402</v>
      </c>
      <c r="D222">
        <v>48</v>
      </c>
      <c r="E222">
        <v>74.099999999999994</v>
      </c>
    </row>
    <row r="223" spans="1:5" x14ac:dyDescent="0.25">
      <c r="A223" t="s">
        <v>226</v>
      </c>
      <c r="B223" t="s">
        <v>505</v>
      </c>
      <c r="C223">
        <v>452</v>
      </c>
      <c r="D223">
        <v>74</v>
      </c>
      <c r="E223">
        <v>83.89</v>
      </c>
    </row>
    <row r="224" spans="1:5" x14ac:dyDescent="0.25">
      <c r="A224" t="s">
        <v>227</v>
      </c>
      <c r="B224" t="s">
        <v>508</v>
      </c>
      <c r="C224">
        <v>304</v>
      </c>
      <c r="D224">
        <v>54</v>
      </c>
      <c r="E224">
        <v>43.6</v>
      </c>
    </row>
    <row r="225" spans="1:5" x14ac:dyDescent="0.25">
      <c r="A225" t="s">
        <v>228</v>
      </c>
      <c r="B225" t="s">
        <v>505</v>
      </c>
      <c r="C225">
        <v>317</v>
      </c>
      <c r="D225">
        <v>60</v>
      </c>
      <c r="E225">
        <v>172.23</v>
      </c>
    </row>
    <row r="226" spans="1:5" x14ac:dyDescent="0.25">
      <c r="A226" t="s">
        <v>229</v>
      </c>
      <c r="B226" t="s">
        <v>509</v>
      </c>
      <c r="C226">
        <v>408</v>
      </c>
      <c r="D226">
        <v>80</v>
      </c>
      <c r="E226">
        <v>140.30000000000001</v>
      </c>
    </row>
    <row r="227" spans="1:5" x14ac:dyDescent="0.25">
      <c r="A227" t="s">
        <v>230</v>
      </c>
      <c r="B227" t="s">
        <v>506</v>
      </c>
      <c r="C227">
        <v>204</v>
      </c>
      <c r="D227">
        <v>47</v>
      </c>
      <c r="E227">
        <v>170.32</v>
      </c>
    </row>
    <row r="228" spans="1:5" x14ac:dyDescent="0.25">
      <c r="A228" t="s">
        <v>231</v>
      </c>
      <c r="B228" t="s">
        <v>505</v>
      </c>
      <c r="C228">
        <v>459</v>
      </c>
      <c r="D228">
        <v>51</v>
      </c>
      <c r="E228">
        <v>185.81</v>
      </c>
    </row>
    <row r="229" spans="1:5" x14ac:dyDescent="0.25">
      <c r="A229" t="s">
        <v>232</v>
      </c>
      <c r="B229" t="s">
        <v>511</v>
      </c>
      <c r="C229">
        <v>382</v>
      </c>
      <c r="D229">
        <v>67</v>
      </c>
      <c r="E229">
        <v>48.29</v>
      </c>
    </row>
    <row r="230" spans="1:5" x14ac:dyDescent="0.25">
      <c r="A230" t="s">
        <v>233</v>
      </c>
      <c r="B230" t="s">
        <v>508</v>
      </c>
      <c r="C230">
        <v>377</v>
      </c>
      <c r="D230">
        <v>39</v>
      </c>
      <c r="E230">
        <v>24.68</v>
      </c>
    </row>
    <row r="231" spans="1:5" x14ac:dyDescent="0.25">
      <c r="A231" t="s">
        <v>234</v>
      </c>
      <c r="B231" t="s">
        <v>509</v>
      </c>
      <c r="C231">
        <v>184</v>
      </c>
      <c r="D231">
        <v>25</v>
      </c>
      <c r="E231">
        <v>34.01</v>
      </c>
    </row>
    <row r="232" spans="1:5" x14ac:dyDescent="0.25">
      <c r="A232" t="s">
        <v>235</v>
      </c>
      <c r="B232" t="s">
        <v>509</v>
      </c>
      <c r="C232">
        <v>453</v>
      </c>
      <c r="D232">
        <v>92</v>
      </c>
      <c r="E232">
        <v>4.3099999999999996</v>
      </c>
    </row>
    <row r="233" spans="1:5" x14ac:dyDescent="0.25">
      <c r="A233" t="s">
        <v>236</v>
      </c>
      <c r="B233" t="s">
        <v>505</v>
      </c>
      <c r="C233">
        <v>193</v>
      </c>
      <c r="D233">
        <v>43</v>
      </c>
      <c r="E233">
        <v>21.87</v>
      </c>
    </row>
    <row r="234" spans="1:5" x14ac:dyDescent="0.25">
      <c r="A234" t="s">
        <v>237</v>
      </c>
      <c r="B234" t="s">
        <v>507</v>
      </c>
      <c r="C234">
        <v>480</v>
      </c>
      <c r="D234">
        <v>24</v>
      </c>
      <c r="E234">
        <v>16.87</v>
      </c>
    </row>
    <row r="235" spans="1:5" x14ac:dyDescent="0.25">
      <c r="A235" t="s">
        <v>238</v>
      </c>
      <c r="B235" t="s">
        <v>508</v>
      </c>
      <c r="C235">
        <v>131</v>
      </c>
      <c r="D235">
        <v>63</v>
      </c>
      <c r="E235">
        <v>122.25</v>
      </c>
    </row>
    <row r="236" spans="1:5" x14ac:dyDescent="0.25">
      <c r="A236" t="s">
        <v>239</v>
      </c>
      <c r="B236" t="s">
        <v>507</v>
      </c>
      <c r="C236">
        <v>375</v>
      </c>
      <c r="D236">
        <v>28</v>
      </c>
      <c r="E236">
        <v>41.15</v>
      </c>
    </row>
    <row r="237" spans="1:5" x14ac:dyDescent="0.25">
      <c r="A237" t="s">
        <v>240</v>
      </c>
      <c r="B237" t="s">
        <v>505</v>
      </c>
      <c r="C237">
        <v>82</v>
      </c>
      <c r="D237">
        <v>81</v>
      </c>
      <c r="E237">
        <v>166.22</v>
      </c>
    </row>
    <row r="238" spans="1:5" x14ac:dyDescent="0.25">
      <c r="A238" t="s">
        <v>241</v>
      </c>
      <c r="B238" t="s">
        <v>507</v>
      </c>
      <c r="C238">
        <v>390</v>
      </c>
      <c r="D238">
        <v>79</v>
      </c>
      <c r="E238">
        <v>82.89</v>
      </c>
    </row>
    <row r="239" spans="1:5" x14ac:dyDescent="0.25">
      <c r="A239" t="s">
        <v>242</v>
      </c>
      <c r="B239" t="s">
        <v>507</v>
      </c>
      <c r="C239">
        <v>39</v>
      </c>
      <c r="D239">
        <v>54</v>
      </c>
      <c r="E239">
        <v>116.23</v>
      </c>
    </row>
    <row r="240" spans="1:5" x14ac:dyDescent="0.25">
      <c r="A240" t="s">
        <v>243</v>
      </c>
      <c r="B240" t="s">
        <v>511</v>
      </c>
      <c r="C240">
        <v>36</v>
      </c>
      <c r="D240">
        <v>75</v>
      </c>
      <c r="E240">
        <v>190.9</v>
      </c>
    </row>
    <row r="241" spans="1:5" x14ac:dyDescent="0.25">
      <c r="A241" t="s">
        <v>244</v>
      </c>
      <c r="B241" t="s">
        <v>510</v>
      </c>
      <c r="C241">
        <v>462</v>
      </c>
      <c r="D241">
        <v>31</v>
      </c>
      <c r="E241">
        <v>4.55</v>
      </c>
    </row>
    <row r="242" spans="1:5" x14ac:dyDescent="0.25">
      <c r="A242" t="s">
        <v>245</v>
      </c>
      <c r="B242" t="s">
        <v>506</v>
      </c>
      <c r="C242">
        <v>184</v>
      </c>
      <c r="D242">
        <v>70</v>
      </c>
      <c r="E242">
        <v>81.91</v>
      </c>
    </row>
    <row r="243" spans="1:5" x14ac:dyDescent="0.25">
      <c r="A243" t="s">
        <v>246</v>
      </c>
      <c r="B243" t="s">
        <v>508</v>
      </c>
      <c r="C243">
        <v>133</v>
      </c>
      <c r="D243">
        <v>82</v>
      </c>
      <c r="E243">
        <v>137.94999999999999</v>
      </c>
    </row>
    <row r="244" spans="1:5" x14ac:dyDescent="0.25">
      <c r="A244" t="s">
        <v>247</v>
      </c>
      <c r="B244" t="s">
        <v>508</v>
      </c>
      <c r="C244">
        <v>374</v>
      </c>
      <c r="D244">
        <v>43</v>
      </c>
      <c r="E244">
        <v>130.47</v>
      </c>
    </row>
    <row r="245" spans="1:5" x14ac:dyDescent="0.25">
      <c r="A245" t="s">
        <v>248</v>
      </c>
      <c r="B245" t="s">
        <v>508</v>
      </c>
      <c r="C245">
        <v>467</v>
      </c>
      <c r="D245">
        <v>40</v>
      </c>
      <c r="E245">
        <v>192.48</v>
      </c>
    </row>
    <row r="246" spans="1:5" x14ac:dyDescent="0.25">
      <c r="A246" t="s">
        <v>249</v>
      </c>
      <c r="B246" t="s">
        <v>511</v>
      </c>
      <c r="C246">
        <v>74</v>
      </c>
      <c r="D246">
        <v>60</v>
      </c>
      <c r="E246">
        <v>170.91</v>
      </c>
    </row>
    <row r="247" spans="1:5" x14ac:dyDescent="0.25">
      <c r="A247" t="s">
        <v>250</v>
      </c>
      <c r="B247" t="s">
        <v>508</v>
      </c>
      <c r="C247">
        <v>160</v>
      </c>
      <c r="D247">
        <v>36</v>
      </c>
      <c r="E247">
        <v>115.58</v>
      </c>
    </row>
    <row r="248" spans="1:5" x14ac:dyDescent="0.25">
      <c r="A248" t="s">
        <v>251</v>
      </c>
      <c r="B248" t="s">
        <v>511</v>
      </c>
      <c r="C248">
        <v>230</v>
      </c>
      <c r="D248">
        <v>68</v>
      </c>
      <c r="E248">
        <v>37.04</v>
      </c>
    </row>
    <row r="249" spans="1:5" x14ac:dyDescent="0.25">
      <c r="A249" t="s">
        <v>252</v>
      </c>
      <c r="B249" t="s">
        <v>508</v>
      </c>
      <c r="C249">
        <v>449</v>
      </c>
      <c r="D249">
        <v>47</v>
      </c>
      <c r="E249">
        <v>185.29</v>
      </c>
    </row>
    <row r="250" spans="1:5" x14ac:dyDescent="0.25">
      <c r="A250" t="s">
        <v>253</v>
      </c>
      <c r="B250" t="s">
        <v>506</v>
      </c>
      <c r="C250">
        <v>384</v>
      </c>
      <c r="D250">
        <v>29</v>
      </c>
      <c r="E250">
        <v>192.91</v>
      </c>
    </row>
    <row r="251" spans="1:5" x14ac:dyDescent="0.25">
      <c r="A251" t="s">
        <v>254</v>
      </c>
      <c r="B251" t="s">
        <v>506</v>
      </c>
      <c r="C251">
        <v>127</v>
      </c>
      <c r="D251">
        <v>70</v>
      </c>
      <c r="E251">
        <v>113.72</v>
      </c>
    </row>
    <row r="252" spans="1:5" x14ac:dyDescent="0.25">
      <c r="A252" t="s">
        <v>255</v>
      </c>
      <c r="B252" t="s">
        <v>511</v>
      </c>
      <c r="C252">
        <v>46</v>
      </c>
      <c r="D252">
        <v>29</v>
      </c>
      <c r="E252">
        <v>140.75</v>
      </c>
    </row>
    <row r="253" spans="1:5" x14ac:dyDescent="0.25">
      <c r="A253" t="s">
        <v>256</v>
      </c>
      <c r="B253" t="s">
        <v>509</v>
      </c>
      <c r="C253">
        <v>32</v>
      </c>
      <c r="D253">
        <v>76</v>
      </c>
      <c r="E253">
        <v>86.61</v>
      </c>
    </row>
    <row r="254" spans="1:5" x14ac:dyDescent="0.25">
      <c r="A254" t="s">
        <v>257</v>
      </c>
      <c r="B254" t="s">
        <v>509</v>
      </c>
      <c r="C254">
        <v>293</v>
      </c>
      <c r="D254">
        <v>89</v>
      </c>
      <c r="E254">
        <v>145.97</v>
      </c>
    </row>
    <row r="255" spans="1:5" x14ac:dyDescent="0.25">
      <c r="A255" t="s">
        <v>258</v>
      </c>
      <c r="B255" t="s">
        <v>505</v>
      </c>
      <c r="C255">
        <v>63</v>
      </c>
      <c r="D255">
        <v>35</v>
      </c>
      <c r="E255">
        <v>153.03</v>
      </c>
    </row>
    <row r="256" spans="1:5" x14ac:dyDescent="0.25">
      <c r="A256" t="s">
        <v>259</v>
      </c>
      <c r="B256" t="s">
        <v>508</v>
      </c>
      <c r="C256">
        <v>419</v>
      </c>
      <c r="D256">
        <v>23</v>
      </c>
      <c r="E256">
        <v>67.05</v>
      </c>
    </row>
    <row r="257" spans="1:5" x14ac:dyDescent="0.25">
      <c r="A257" t="s">
        <v>260</v>
      </c>
      <c r="B257" t="s">
        <v>511</v>
      </c>
      <c r="C257">
        <v>454</v>
      </c>
      <c r="D257">
        <v>85</v>
      </c>
      <c r="E257">
        <v>6.56</v>
      </c>
    </row>
    <row r="258" spans="1:5" x14ac:dyDescent="0.25">
      <c r="A258" t="s">
        <v>261</v>
      </c>
      <c r="B258" t="s">
        <v>505</v>
      </c>
      <c r="C258">
        <v>358</v>
      </c>
      <c r="D258">
        <v>96</v>
      </c>
      <c r="E258">
        <v>120.24</v>
      </c>
    </row>
    <row r="259" spans="1:5" x14ac:dyDescent="0.25">
      <c r="A259" t="s">
        <v>262</v>
      </c>
      <c r="B259" t="s">
        <v>510</v>
      </c>
      <c r="C259">
        <v>124</v>
      </c>
      <c r="D259">
        <v>65</v>
      </c>
      <c r="E259">
        <v>90.8</v>
      </c>
    </row>
    <row r="260" spans="1:5" x14ac:dyDescent="0.25">
      <c r="A260" t="s">
        <v>263</v>
      </c>
      <c r="B260" t="s">
        <v>510</v>
      </c>
      <c r="C260">
        <v>117</v>
      </c>
      <c r="D260">
        <v>41</v>
      </c>
      <c r="E260">
        <v>22.58</v>
      </c>
    </row>
    <row r="261" spans="1:5" x14ac:dyDescent="0.25">
      <c r="A261" t="s">
        <v>264</v>
      </c>
      <c r="B261" t="s">
        <v>511</v>
      </c>
      <c r="C261">
        <v>418</v>
      </c>
      <c r="D261">
        <v>67</v>
      </c>
      <c r="E261">
        <v>119.78</v>
      </c>
    </row>
    <row r="262" spans="1:5" x14ac:dyDescent="0.25">
      <c r="A262" t="s">
        <v>265</v>
      </c>
      <c r="B262" t="s">
        <v>505</v>
      </c>
      <c r="C262">
        <v>391</v>
      </c>
      <c r="D262">
        <v>56</v>
      </c>
      <c r="E262">
        <v>168.98</v>
      </c>
    </row>
    <row r="263" spans="1:5" x14ac:dyDescent="0.25">
      <c r="A263" t="s">
        <v>266</v>
      </c>
      <c r="B263" t="s">
        <v>508</v>
      </c>
      <c r="C263">
        <v>268</v>
      </c>
      <c r="D263">
        <v>35</v>
      </c>
      <c r="E263">
        <v>34.090000000000003</v>
      </c>
    </row>
    <row r="264" spans="1:5" x14ac:dyDescent="0.25">
      <c r="A264" t="s">
        <v>267</v>
      </c>
      <c r="B264" t="s">
        <v>506</v>
      </c>
      <c r="C264">
        <v>234</v>
      </c>
      <c r="D264">
        <v>63</v>
      </c>
      <c r="E264">
        <v>192.28</v>
      </c>
    </row>
    <row r="265" spans="1:5" x14ac:dyDescent="0.25">
      <c r="A265" t="s">
        <v>268</v>
      </c>
      <c r="B265" t="s">
        <v>509</v>
      </c>
      <c r="C265">
        <v>498</v>
      </c>
      <c r="D265">
        <v>67</v>
      </c>
      <c r="E265">
        <v>137.19999999999999</v>
      </c>
    </row>
    <row r="266" spans="1:5" x14ac:dyDescent="0.25">
      <c r="A266" t="s">
        <v>269</v>
      </c>
      <c r="B266" t="s">
        <v>507</v>
      </c>
      <c r="C266">
        <v>427</v>
      </c>
      <c r="D266">
        <v>46</v>
      </c>
      <c r="E266">
        <v>106.82</v>
      </c>
    </row>
    <row r="267" spans="1:5" x14ac:dyDescent="0.25">
      <c r="A267" t="s">
        <v>270</v>
      </c>
      <c r="B267" t="s">
        <v>509</v>
      </c>
      <c r="C267">
        <v>88</v>
      </c>
      <c r="D267">
        <v>99</v>
      </c>
      <c r="E267">
        <v>99.75</v>
      </c>
    </row>
    <row r="268" spans="1:5" x14ac:dyDescent="0.25">
      <c r="A268" t="s">
        <v>271</v>
      </c>
      <c r="B268" t="s">
        <v>506</v>
      </c>
      <c r="C268">
        <v>229</v>
      </c>
      <c r="D268">
        <v>56</v>
      </c>
      <c r="E268">
        <v>162.96</v>
      </c>
    </row>
    <row r="269" spans="1:5" x14ac:dyDescent="0.25">
      <c r="A269" t="s">
        <v>272</v>
      </c>
      <c r="B269" t="s">
        <v>508</v>
      </c>
      <c r="C269">
        <v>6</v>
      </c>
      <c r="D269">
        <v>99</v>
      </c>
      <c r="E269">
        <v>69.52</v>
      </c>
    </row>
    <row r="270" spans="1:5" x14ac:dyDescent="0.25">
      <c r="A270" t="s">
        <v>273</v>
      </c>
      <c r="B270" t="s">
        <v>505</v>
      </c>
      <c r="C270">
        <v>33</v>
      </c>
      <c r="D270">
        <v>39</v>
      </c>
      <c r="E270">
        <v>89.01</v>
      </c>
    </row>
    <row r="271" spans="1:5" x14ac:dyDescent="0.25">
      <c r="A271" t="s">
        <v>274</v>
      </c>
      <c r="B271" t="s">
        <v>508</v>
      </c>
      <c r="C271">
        <v>25</v>
      </c>
      <c r="D271">
        <v>96</v>
      </c>
      <c r="E271">
        <v>169.69</v>
      </c>
    </row>
    <row r="272" spans="1:5" x14ac:dyDescent="0.25">
      <c r="A272" t="s">
        <v>275</v>
      </c>
      <c r="B272" t="s">
        <v>509</v>
      </c>
      <c r="C272">
        <v>461</v>
      </c>
      <c r="D272">
        <v>94</v>
      </c>
      <c r="E272">
        <v>154.96</v>
      </c>
    </row>
    <row r="273" spans="1:5" x14ac:dyDescent="0.25">
      <c r="A273" t="s">
        <v>276</v>
      </c>
      <c r="B273" t="s">
        <v>507</v>
      </c>
      <c r="C273">
        <v>478</v>
      </c>
      <c r="D273">
        <v>54</v>
      </c>
      <c r="E273">
        <v>52.86</v>
      </c>
    </row>
    <row r="274" spans="1:5" x14ac:dyDescent="0.25">
      <c r="A274" t="s">
        <v>277</v>
      </c>
      <c r="B274" t="s">
        <v>506</v>
      </c>
      <c r="C274">
        <v>26</v>
      </c>
      <c r="D274">
        <v>51</v>
      </c>
      <c r="E274">
        <v>130.44999999999999</v>
      </c>
    </row>
    <row r="275" spans="1:5" x14ac:dyDescent="0.25">
      <c r="A275" t="s">
        <v>278</v>
      </c>
      <c r="B275" t="s">
        <v>510</v>
      </c>
      <c r="C275">
        <v>230</v>
      </c>
      <c r="D275">
        <v>68</v>
      </c>
      <c r="E275">
        <v>3.04</v>
      </c>
    </row>
    <row r="276" spans="1:5" x14ac:dyDescent="0.25">
      <c r="A276" t="s">
        <v>279</v>
      </c>
      <c r="B276" t="s">
        <v>508</v>
      </c>
      <c r="C276">
        <v>495</v>
      </c>
      <c r="D276">
        <v>27</v>
      </c>
      <c r="E276">
        <v>5.04</v>
      </c>
    </row>
    <row r="277" spans="1:5" x14ac:dyDescent="0.25">
      <c r="A277" t="s">
        <v>280</v>
      </c>
      <c r="B277" t="s">
        <v>508</v>
      </c>
      <c r="C277">
        <v>67</v>
      </c>
      <c r="D277">
        <v>65</v>
      </c>
      <c r="E277">
        <v>155.16</v>
      </c>
    </row>
    <row r="278" spans="1:5" x14ac:dyDescent="0.25">
      <c r="A278" t="s">
        <v>281</v>
      </c>
      <c r="B278" t="s">
        <v>510</v>
      </c>
      <c r="C278">
        <v>23</v>
      </c>
      <c r="D278">
        <v>66</v>
      </c>
      <c r="E278">
        <v>126.67</v>
      </c>
    </row>
    <row r="279" spans="1:5" x14ac:dyDescent="0.25">
      <c r="A279" t="s">
        <v>282</v>
      </c>
      <c r="B279" t="s">
        <v>505</v>
      </c>
      <c r="C279">
        <v>425</v>
      </c>
      <c r="D279">
        <v>78</v>
      </c>
      <c r="E279">
        <v>184.33</v>
      </c>
    </row>
    <row r="280" spans="1:5" x14ac:dyDescent="0.25">
      <c r="A280" t="s">
        <v>283</v>
      </c>
      <c r="B280" t="s">
        <v>506</v>
      </c>
      <c r="C280">
        <v>172</v>
      </c>
      <c r="D280">
        <v>62</v>
      </c>
      <c r="E280">
        <v>42.52</v>
      </c>
    </row>
    <row r="281" spans="1:5" x14ac:dyDescent="0.25">
      <c r="A281" t="s">
        <v>284</v>
      </c>
      <c r="B281" t="s">
        <v>505</v>
      </c>
      <c r="C281">
        <v>364</v>
      </c>
      <c r="D281">
        <v>50</v>
      </c>
      <c r="E281">
        <v>165.7</v>
      </c>
    </row>
    <row r="282" spans="1:5" x14ac:dyDescent="0.25">
      <c r="A282" t="s">
        <v>285</v>
      </c>
      <c r="B282" t="s">
        <v>507</v>
      </c>
      <c r="C282">
        <v>291</v>
      </c>
      <c r="D282">
        <v>44</v>
      </c>
      <c r="E282">
        <v>161.43</v>
      </c>
    </row>
    <row r="283" spans="1:5" x14ac:dyDescent="0.25">
      <c r="A283" t="s">
        <v>286</v>
      </c>
      <c r="B283" t="s">
        <v>506</v>
      </c>
      <c r="C283">
        <v>220</v>
      </c>
      <c r="D283">
        <v>36</v>
      </c>
      <c r="E283">
        <v>126.97</v>
      </c>
    </row>
    <row r="284" spans="1:5" x14ac:dyDescent="0.25">
      <c r="A284" t="s">
        <v>287</v>
      </c>
      <c r="B284" t="s">
        <v>506</v>
      </c>
      <c r="C284">
        <v>275</v>
      </c>
      <c r="D284">
        <v>38</v>
      </c>
      <c r="E284">
        <v>87.66</v>
      </c>
    </row>
    <row r="285" spans="1:5" x14ac:dyDescent="0.25">
      <c r="A285" t="s">
        <v>288</v>
      </c>
      <c r="B285" t="s">
        <v>511</v>
      </c>
      <c r="C285">
        <v>101</v>
      </c>
      <c r="D285">
        <v>81</v>
      </c>
      <c r="E285">
        <v>53.16</v>
      </c>
    </row>
    <row r="286" spans="1:5" x14ac:dyDescent="0.25">
      <c r="A286" t="s">
        <v>289</v>
      </c>
      <c r="B286" t="s">
        <v>507</v>
      </c>
      <c r="C286">
        <v>19</v>
      </c>
      <c r="D286">
        <v>100</v>
      </c>
      <c r="E286">
        <v>172.82</v>
      </c>
    </row>
    <row r="287" spans="1:5" x14ac:dyDescent="0.25">
      <c r="A287" t="s">
        <v>290</v>
      </c>
      <c r="B287" t="s">
        <v>507</v>
      </c>
      <c r="C287">
        <v>294</v>
      </c>
      <c r="D287">
        <v>78</v>
      </c>
      <c r="E287">
        <v>87.86</v>
      </c>
    </row>
    <row r="288" spans="1:5" x14ac:dyDescent="0.25">
      <c r="A288" t="s">
        <v>291</v>
      </c>
      <c r="B288" t="s">
        <v>505</v>
      </c>
      <c r="C288">
        <v>217</v>
      </c>
      <c r="D288">
        <v>20</v>
      </c>
      <c r="E288">
        <v>21.52</v>
      </c>
    </row>
    <row r="289" spans="1:5" x14ac:dyDescent="0.25">
      <c r="A289" t="s">
        <v>292</v>
      </c>
      <c r="B289" t="s">
        <v>510</v>
      </c>
      <c r="C289">
        <v>368</v>
      </c>
      <c r="D289">
        <v>59</v>
      </c>
      <c r="E289">
        <v>80.069999999999993</v>
      </c>
    </row>
    <row r="290" spans="1:5" x14ac:dyDescent="0.25">
      <c r="A290" t="s">
        <v>293</v>
      </c>
      <c r="B290" t="s">
        <v>508</v>
      </c>
      <c r="C290">
        <v>486</v>
      </c>
      <c r="D290">
        <v>34</v>
      </c>
      <c r="E290">
        <v>85.9</v>
      </c>
    </row>
    <row r="291" spans="1:5" x14ac:dyDescent="0.25">
      <c r="A291" t="s">
        <v>294</v>
      </c>
      <c r="B291" t="s">
        <v>507</v>
      </c>
      <c r="C291">
        <v>96</v>
      </c>
      <c r="D291">
        <v>44</v>
      </c>
      <c r="E291">
        <v>86.87</v>
      </c>
    </row>
    <row r="292" spans="1:5" x14ac:dyDescent="0.25">
      <c r="A292" t="s">
        <v>295</v>
      </c>
      <c r="B292" t="s">
        <v>510</v>
      </c>
      <c r="C292">
        <v>100</v>
      </c>
      <c r="D292">
        <v>87</v>
      </c>
      <c r="E292">
        <v>145.15</v>
      </c>
    </row>
    <row r="293" spans="1:5" x14ac:dyDescent="0.25">
      <c r="A293" t="s">
        <v>296</v>
      </c>
      <c r="B293" t="s">
        <v>509</v>
      </c>
      <c r="C293">
        <v>286</v>
      </c>
      <c r="D293">
        <v>70</v>
      </c>
      <c r="E293">
        <v>94.73</v>
      </c>
    </row>
    <row r="294" spans="1:5" x14ac:dyDescent="0.25">
      <c r="A294" t="s">
        <v>297</v>
      </c>
      <c r="B294" t="s">
        <v>506</v>
      </c>
      <c r="C294">
        <v>282</v>
      </c>
      <c r="D294">
        <v>74</v>
      </c>
      <c r="E294">
        <v>26.62</v>
      </c>
    </row>
    <row r="295" spans="1:5" x14ac:dyDescent="0.25">
      <c r="A295" t="s">
        <v>298</v>
      </c>
      <c r="B295" t="s">
        <v>505</v>
      </c>
      <c r="C295">
        <v>407</v>
      </c>
      <c r="D295">
        <v>97</v>
      </c>
      <c r="E295">
        <v>33.81</v>
      </c>
    </row>
    <row r="296" spans="1:5" x14ac:dyDescent="0.25">
      <c r="A296" t="s">
        <v>299</v>
      </c>
      <c r="B296" t="s">
        <v>509</v>
      </c>
      <c r="C296">
        <v>248</v>
      </c>
      <c r="D296">
        <v>71</v>
      </c>
      <c r="E296">
        <v>13.94</v>
      </c>
    </row>
    <row r="297" spans="1:5" x14ac:dyDescent="0.25">
      <c r="A297" t="s">
        <v>300</v>
      </c>
      <c r="B297" t="s">
        <v>509</v>
      </c>
      <c r="C297">
        <v>285</v>
      </c>
      <c r="D297">
        <v>47</v>
      </c>
      <c r="E297">
        <v>55.89</v>
      </c>
    </row>
    <row r="298" spans="1:5" x14ac:dyDescent="0.25">
      <c r="A298" t="s">
        <v>301</v>
      </c>
      <c r="B298" t="s">
        <v>506</v>
      </c>
      <c r="C298">
        <v>227</v>
      </c>
      <c r="D298">
        <v>59</v>
      </c>
      <c r="E298">
        <v>146.75</v>
      </c>
    </row>
    <row r="299" spans="1:5" x14ac:dyDescent="0.25">
      <c r="A299" t="s">
        <v>302</v>
      </c>
      <c r="B299" t="s">
        <v>509</v>
      </c>
      <c r="C299">
        <v>430</v>
      </c>
      <c r="D299">
        <v>31</v>
      </c>
      <c r="E299">
        <v>83.2</v>
      </c>
    </row>
    <row r="300" spans="1:5" x14ac:dyDescent="0.25">
      <c r="A300" t="s">
        <v>303</v>
      </c>
      <c r="B300" t="s">
        <v>509</v>
      </c>
      <c r="C300">
        <v>495</v>
      </c>
      <c r="D300">
        <v>91</v>
      </c>
      <c r="E300">
        <v>56.63</v>
      </c>
    </row>
    <row r="301" spans="1:5" x14ac:dyDescent="0.25">
      <c r="A301" t="s">
        <v>304</v>
      </c>
      <c r="B301" t="s">
        <v>506</v>
      </c>
      <c r="C301">
        <v>50</v>
      </c>
      <c r="D301">
        <v>47</v>
      </c>
      <c r="E301">
        <v>175.1</v>
      </c>
    </row>
    <row r="302" spans="1:5" x14ac:dyDescent="0.25">
      <c r="A302" t="s">
        <v>305</v>
      </c>
      <c r="B302" t="s">
        <v>509</v>
      </c>
      <c r="C302">
        <v>356</v>
      </c>
      <c r="D302">
        <v>29</v>
      </c>
      <c r="E302">
        <v>171.48</v>
      </c>
    </row>
    <row r="303" spans="1:5" x14ac:dyDescent="0.25">
      <c r="A303" t="s">
        <v>306</v>
      </c>
      <c r="B303" t="s">
        <v>511</v>
      </c>
      <c r="C303">
        <v>115</v>
      </c>
      <c r="D303">
        <v>32</v>
      </c>
      <c r="E303">
        <v>187.89</v>
      </c>
    </row>
    <row r="304" spans="1:5" x14ac:dyDescent="0.25">
      <c r="A304" t="s">
        <v>307</v>
      </c>
      <c r="B304" t="s">
        <v>508</v>
      </c>
      <c r="C304">
        <v>307</v>
      </c>
      <c r="D304">
        <v>29</v>
      </c>
      <c r="E304">
        <v>27.86</v>
      </c>
    </row>
    <row r="305" spans="1:5" x14ac:dyDescent="0.25">
      <c r="A305" t="s">
        <v>308</v>
      </c>
      <c r="B305" t="s">
        <v>507</v>
      </c>
      <c r="C305">
        <v>469</v>
      </c>
      <c r="D305">
        <v>45</v>
      </c>
      <c r="E305">
        <v>146.4</v>
      </c>
    </row>
    <row r="306" spans="1:5" x14ac:dyDescent="0.25">
      <c r="A306" t="s">
        <v>309</v>
      </c>
      <c r="B306" t="s">
        <v>511</v>
      </c>
      <c r="C306">
        <v>338</v>
      </c>
      <c r="D306">
        <v>81</v>
      </c>
      <c r="E306">
        <v>179.36</v>
      </c>
    </row>
    <row r="307" spans="1:5" x14ac:dyDescent="0.25">
      <c r="A307" t="s">
        <v>310</v>
      </c>
      <c r="B307" t="s">
        <v>505</v>
      </c>
      <c r="C307">
        <v>407</v>
      </c>
      <c r="D307">
        <v>63</v>
      </c>
      <c r="E307">
        <v>104.59</v>
      </c>
    </row>
    <row r="308" spans="1:5" x14ac:dyDescent="0.25">
      <c r="A308" t="s">
        <v>311</v>
      </c>
      <c r="B308" t="s">
        <v>511</v>
      </c>
      <c r="C308">
        <v>230</v>
      </c>
      <c r="D308">
        <v>87</v>
      </c>
      <c r="E308">
        <v>27.43</v>
      </c>
    </row>
    <row r="309" spans="1:5" x14ac:dyDescent="0.25">
      <c r="A309" t="s">
        <v>312</v>
      </c>
      <c r="B309" t="s">
        <v>510</v>
      </c>
      <c r="C309">
        <v>323</v>
      </c>
      <c r="D309">
        <v>63</v>
      </c>
      <c r="E309">
        <v>152.49</v>
      </c>
    </row>
    <row r="310" spans="1:5" x14ac:dyDescent="0.25">
      <c r="A310" t="s">
        <v>313</v>
      </c>
      <c r="B310" t="s">
        <v>507</v>
      </c>
      <c r="C310">
        <v>427</v>
      </c>
      <c r="D310">
        <v>41</v>
      </c>
      <c r="E310">
        <v>199.34</v>
      </c>
    </row>
    <row r="311" spans="1:5" x14ac:dyDescent="0.25">
      <c r="A311" t="s">
        <v>314</v>
      </c>
      <c r="B311" t="s">
        <v>511</v>
      </c>
      <c r="C311">
        <v>390</v>
      </c>
      <c r="D311">
        <v>73</v>
      </c>
      <c r="E311">
        <v>48.68</v>
      </c>
    </row>
    <row r="312" spans="1:5" x14ac:dyDescent="0.25">
      <c r="A312" t="s">
        <v>315</v>
      </c>
      <c r="B312" t="s">
        <v>511</v>
      </c>
      <c r="C312">
        <v>117</v>
      </c>
      <c r="D312">
        <v>40</v>
      </c>
      <c r="E312">
        <v>116.57</v>
      </c>
    </row>
    <row r="313" spans="1:5" x14ac:dyDescent="0.25">
      <c r="A313" t="s">
        <v>316</v>
      </c>
      <c r="B313" t="s">
        <v>507</v>
      </c>
      <c r="C313">
        <v>331</v>
      </c>
      <c r="D313">
        <v>81</v>
      </c>
      <c r="E313">
        <v>162.51</v>
      </c>
    </row>
    <row r="314" spans="1:5" x14ac:dyDescent="0.25">
      <c r="A314" t="s">
        <v>317</v>
      </c>
      <c r="B314" t="s">
        <v>511</v>
      </c>
      <c r="C314">
        <v>500</v>
      </c>
      <c r="D314">
        <v>50</v>
      </c>
      <c r="E314">
        <v>49.58</v>
      </c>
    </row>
    <row r="315" spans="1:5" x14ac:dyDescent="0.25">
      <c r="A315" t="s">
        <v>318</v>
      </c>
      <c r="B315" t="s">
        <v>507</v>
      </c>
      <c r="C315">
        <v>57</v>
      </c>
      <c r="D315">
        <v>89</v>
      </c>
      <c r="E315">
        <v>17.64</v>
      </c>
    </row>
    <row r="316" spans="1:5" x14ac:dyDescent="0.25">
      <c r="A316" t="s">
        <v>319</v>
      </c>
      <c r="B316" t="s">
        <v>511</v>
      </c>
      <c r="C316">
        <v>102</v>
      </c>
      <c r="D316">
        <v>89</v>
      </c>
      <c r="E316">
        <v>31.12</v>
      </c>
    </row>
    <row r="317" spans="1:5" x14ac:dyDescent="0.25">
      <c r="A317" t="s">
        <v>320</v>
      </c>
      <c r="B317" t="s">
        <v>506</v>
      </c>
      <c r="C317">
        <v>388</v>
      </c>
      <c r="D317">
        <v>81</v>
      </c>
      <c r="E317">
        <v>156.69999999999999</v>
      </c>
    </row>
    <row r="318" spans="1:5" x14ac:dyDescent="0.25">
      <c r="A318" t="s">
        <v>321</v>
      </c>
      <c r="B318" t="s">
        <v>508</v>
      </c>
      <c r="C318">
        <v>120</v>
      </c>
      <c r="D318">
        <v>26</v>
      </c>
      <c r="E318">
        <v>169.54</v>
      </c>
    </row>
    <row r="319" spans="1:5" x14ac:dyDescent="0.25">
      <c r="A319" t="s">
        <v>322</v>
      </c>
      <c r="B319" t="s">
        <v>511</v>
      </c>
      <c r="C319">
        <v>133</v>
      </c>
      <c r="D319">
        <v>92</v>
      </c>
      <c r="E319">
        <v>30.42</v>
      </c>
    </row>
    <row r="320" spans="1:5" x14ac:dyDescent="0.25">
      <c r="A320" t="s">
        <v>323</v>
      </c>
      <c r="B320" t="s">
        <v>506</v>
      </c>
      <c r="C320">
        <v>52</v>
      </c>
      <c r="D320">
        <v>27</v>
      </c>
      <c r="E320">
        <v>114.05</v>
      </c>
    </row>
    <row r="321" spans="1:5" x14ac:dyDescent="0.25">
      <c r="A321" t="s">
        <v>324</v>
      </c>
      <c r="B321" t="s">
        <v>509</v>
      </c>
      <c r="C321">
        <v>68</v>
      </c>
      <c r="D321">
        <v>46</v>
      </c>
      <c r="E321">
        <v>114.28</v>
      </c>
    </row>
    <row r="322" spans="1:5" x14ac:dyDescent="0.25">
      <c r="A322" t="s">
        <v>325</v>
      </c>
      <c r="B322" t="s">
        <v>509</v>
      </c>
      <c r="C322">
        <v>125</v>
      </c>
      <c r="D322">
        <v>75</v>
      </c>
      <c r="E322">
        <v>19.350000000000001</v>
      </c>
    </row>
    <row r="323" spans="1:5" x14ac:dyDescent="0.25">
      <c r="A323" t="s">
        <v>326</v>
      </c>
      <c r="B323" t="s">
        <v>506</v>
      </c>
      <c r="C323">
        <v>261</v>
      </c>
      <c r="D323">
        <v>32</v>
      </c>
      <c r="E323">
        <v>169.15</v>
      </c>
    </row>
    <row r="324" spans="1:5" x14ac:dyDescent="0.25">
      <c r="A324" t="s">
        <v>327</v>
      </c>
      <c r="B324" t="s">
        <v>510</v>
      </c>
      <c r="C324">
        <v>218</v>
      </c>
      <c r="D324">
        <v>90</v>
      </c>
      <c r="E324">
        <v>114.43</v>
      </c>
    </row>
    <row r="325" spans="1:5" x14ac:dyDescent="0.25">
      <c r="A325" t="s">
        <v>328</v>
      </c>
      <c r="B325" t="s">
        <v>510</v>
      </c>
      <c r="C325">
        <v>290</v>
      </c>
      <c r="D325">
        <v>99</v>
      </c>
      <c r="E325">
        <v>61.78</v>
      </c>
    </row>
    <row r="326" spans="1:5" x14ac:dyDescent="0.25">
      <c r="A326" t="s">
        <v>329</v>
      </c>
      <c r="B326" t="s">
        <v>509</v>
      </c>
      <c r="C326">
        <v>48</v>
      </c>
      <c r="D326">
        <v>31</v>
      </c>
      <c r="E326">
        <v>165.02</v>
      </c>
    </row>
    <row r="327" spans="1:5" x14ac:dyDescent="0.25">
      <c r="A327" t="s">
        <v>330</v>
      </c>
      <c r="B327" t="s">
        <v>510</v>
      </c>
      <c r="C327">
        <v>380</v>
      </c>
      <c r="D327">
        <v>50</v>
      </c>
      <c r="E327">
        <v>65.42</v>
      </c>
    </row>
    <row r="328" spans="1:5" x14ac:dyDescent="0.25">
      <c r="A328" t="s">
        <v>331</v>
      </c>
      <c r="B328" t="s">
        <v>506</v>
      </c>
      <c r="C328">
        <v>369</v>
      </c>
      <c r="D328">
        <v>53</v>
      </c>
      <c r="E328">
        <v>164.41</v>
      </c>
    </row>
    <row r="329" spans="1:5" x14ac:dyDescent="0.25">
      <c r="A329" t="s">
        <v>332</v>
      </c>
      <c r="B329" t="s">
        <v>511</v>
      </c>
      <c r="C329">
        <v>119</v>
      </c>
      <c r="D329">
        <v>44</v>
      </c>
      <c r="E329">
        <v>25.82</v>
      </c>
    </row>
    <row r="330" spans="1:5" x14ac:dyDescent="0.25">
      <c r="A330" t="s">
        <v>333</v>
      </c>
      <c r="B330" t="s">
        <v>508</v>
      </c>
      <c r="C330">
        <v>101</v>
      </c>
      <c r="D330">
        <v>38</v>
      </c>
      <c r="E330">
        <v>8.77</v>
      </c>
    </row>
    <row r="331" spans="1:5" x14ac:dyDescent="0.25">
      <c r="A331" t="s">
        <v>334</v>
      </c>
      <c r="B331" t="s">
        <v>507</v>
      </c>
      <c r="C331">
        <v>294</v>
      </c>
      <c r="D331">
        <v>47</v>
      </c>
      <c r="E331">
        <v>64.73</v>
      </c>
    </row>
    <row r="332" spans="1:5" x14ac:dyDescent="0.25">
      <c r="A332" t="s">
        <v>335</v>
      </c>
      <c r="B332" t="s">
        <v>510</v>
      </c>
      <c r="C332">
        <v>457</v>
      </c>
      <c r="D332">
        <v>51</v>
      </c>
      <c r="E332">
        <v>58.57</v>
      </c>
    </row>
    <row r="333" spans="1:5" x14ac:dyDescent="0.25">
      <c r="A333" t="s">
        <v>336</v>
      </c>
      <c r="B333" t="s">
        <v>505</v>
      </c>
      <c r="C333">
        <v>386</v>
      </c>
      <c r="D333">
        <v>67</v>
      </c>
      <c r="E333">
        <v>78.09</v>
      </c>
    </row>
    <row r="334" spans="1:5" x14ac:dyDescent="0.25">
      <c r="A334" t="s">
        <v>337</v>
      </c>
      <c r="B334" t="s">
        <v>509</v>
      </c>
      <c r="C334">
        <v>246</v>
      </c>
      <c r="D334">
        <v>52</v>
      </c>
      <c r="E334">
        <v>22.13</v>
      </c>
    </row>
    <row r="335" spans="1:5" x14ac:dyDescent="0.25">
      <c r="A335" t="s">
        <v>338</v>
      </c>
      <c r="B335" t="s">
        <v>507</v>
      </c>
      <c r="C335">
        <v>103</v>
      </c>
      <c r="D335">
        <v>65</v>
      </c>
      <c r="E335">
        <v>87.99</v>
      </c>
    </row>
    <row r="336" spans="1:5" x14ac:dyDescent="0.25">
      <c r="A336" t="s">
        <v>339</v>
      </c>
      <c r="B336" t="s">
        <v>506</v>
      </c>
      <c r="C336">
        <v>27</v>
      </c>
      <c r="D336">
        <v>74</v>
      </c>
      <c r="E336">
        <v>41.8</v>
      </c>
    </row>
    <row r="337" spans="1:5" x14ac:dyDescent="0.25">
      <c r="A337" t="s">
        <v>340</v>
      </c>
      <c r="B337" t="s">
        <v>507</v>
      </c>
      <c r="C337">
        <v>145</v>
      </c>
      <c r="D337">
        <v>55</v>
      </c>
      <c r="E337">
        <v>87.22</v>
      </c>
    </row>
    <row r="338" spans="1:5" x14ac:dyDescent="0.25">
      <c r="A338" t="s">
        <v>341</v>
      </c>
      <c r="B338" t="s">
        <v>508</v>
      </c>
      <c r="C338">
        <v>74</v>
      </c>
      <c r="D338">
        <v>98</v>
      </c>
      <c r="E338">
        <v>142.01</v>
      </c>
    </row>
    <row r="339" spans="1:5" x14ac:dyDescent="0.25">
      <c r="A339" t="s">
        <v>342</v>
      </c>
      <c r="B339" t="s">
        <v>509</v>
      </c>
      <c r="C339">
        <v>297</v>
      </c>
      <c r="D339">
        <v>52</v>
      </c>
      <c r="E339">
        <v>13.98</v>
      </c>
    </row>
    <row r="340" spans="1:5" x14ac:dyDescent="0.25">
      <c r="A340" t="s">
        <v>343</v>
      </c>
      <c r="B340" t="s">
        <v>505</v>
      </c>
      <c r="C340">
        <v>388</v>
      </c>
      <c r="D340">
        <v>99</v>
      </c>
      <c r="E340">
        <v>31.51</v>
      </c>
    </row>
    <row r="341" spans="1:5" x14ac:dyDescent="0.25">
      <c r="A341" t="s">
        <v>344</v>
      </c>
      <c r="B341" t="s">
        <v>508</v>
      </c>
      <c r="C341">
        <v>19</v>
      </c>
      <c r="D341">
        <v>93</v>
      </c>
      <c r="E341">
        <v>65.28</v>
      </c>
    </row>
    <row r="342" spans="1:5" x14ac:dyDescent="0.25">
      <c r="A342" t="s">
        <v>345</v>
      </c>
      <c r="B342" t="s">
        <v>510</v>
      </c>
      <c r="C342">
        <v>438</v>
      </c>
      <c r="D342">
        <v>39</v>
      </c>
      <c r="E342">
        <v>62.75</v>
      </c>
    </row>
    <row r="343" spans="1:5" x14ac:dyDescent="0.25">
      <c r="A343" t="s">
        <v>346</v>
      </c>
      <c r="B343" t="s">
        <v>510</v>
      </c>
      <c r="C343">
        <v>9</v>
      </c>
      <c r="D343">
        <v>83</v>
      </c>
      <c r="E343">
        <v>15.86</v>
      </c>
    </row>
    <row r="344" spans="1:5" x14ac:dyDescent="0.25">
      <c r="A344" t="s">
        <v>347</v>
      </c>
      <c r="B344" t="s">
        <v>507</v>
      </c>
      <c r="C344">
        <v>221</v>
      </c>
      <c r="D344">
        <v>100</v>
      </c>
      <c r="E344">
        <v>41.02</v>
      </c>
    </row>
    <row r="345" spans="1:5" x14ac:dyDescent="0.25">
      <c r="A345" t="s">
        <v>348</v>
      </c>
      <c r="B345" t="s">
        <v>507</v>
      </c>
      <c r="C345">
        <v>293</v>
      </c>
      <c r="D345">
        <v>40</v>
      </c>
      <c r="E345">
        <v>112.22</v>
      </c>
    </row>
    <row r="346" spans="1:5" x14ac:dyDescent="0.25">
      <c r="A346" t="s">
        <v>349</v>
      </c>
      <c r="B346" t="s">
        <v>508</v>
      </c>
      <c r="C346">
        <v>4</v>
      </c>
      <c r="D346">
        <v>96</v>
      </c>
      <c r="E346">
        <v>181.05</v>
      </c>
    </row>
    <row r="347" spans="1:5" x14ac:dyDescent="0.25">
      <c r="A347" t="s">
        <v>350</v>
      </c>
      <c r="B347" t="s">
        <v>510</v>
      </c>
      <c r="C347">
        <v>248</v>
      </c>
      <c r="D347">
        <v>90</v>
      </c>
      <c r="E347">
        <v>124.22</v>
      </c>
    </row>
    <row r="348" spans="1:5" x14ac:dyDescent="0.25">
      <c r="A348" t="s">
        <v>351</v>
      </c>
      <c r="B348" t="s">
        <v>510</v>
      </c>
      <c r="C348">
        <v>277</v>
      </c>
      <c r="D348">
        <v>48</v>
      </c>
      <c r="E348">
        <v>198.14</v>
      </c>
    </row>
    <row r="349" spans="1:5" x14ac:dyDescent="0.25">
      <c r="A349" t="s">
        <v>352</v>
      </c>
      <c r="B349" t="s">
        <v>509</v>
      </c>
      <c r="C349">
        <v>481</v>
      </c>
      <c r="D349">
        <v>27</v>
      </c>
      <c r="E349">
        <v>125.55</v>
      </c>
    </row>
    <row r="350" spans="1:5" x14ac:dyDescent="0.25">
      <c r="A350" t="s">
        <v>353</v>
      </c>
      <c r="B350" t="s">
        <v>510</v>
      </c>
      <c r="C350">
        <v>328</v>
      </c>
      <c r="D350">
        <v>68</v>
      </c>
      <c r="E350">
        <v>179.98</v>
      </c>
    </row>
    <row r="351" spans="1:5" x14ac:dyDescent="0.25">
      <c r="A351" t="s">
        <v>354</v>
      </c>
      <c r="B351" t="s">
        <v>505</v>
      </c>
      <c r="C351">
        <v>269</v>
      </c>
      <c r="D351">
        <v>95</v>
      </c>
      <c r="E351">
        <v>157.72</v>
      </c>
    </row>
    <row r="352" spans="1:5" x14ac:dyDescent="0.25">
      <c r="A352" t="s">
        <v>355</v>
      </c>
      <c r="B352" t="s">
        <v>506</v>
      </c>
      <c r="C352">
        <v>481</v>
      </c>
      <c r="D352">
        <v>23</v>
      </c>
      <c r="E352">
        <v>132.77000000000001</v>
      </c>
    </row>
    <row r="353" spans="1:5" x14ac:dyDescent="0.25">
      <c r="A353" t="s">
        <v>356</v>
      </c>
      <c r="B353" t="s">
        <v>505</v>
      </c>
      <c r="C353">
        <v>44</v>
      </c>
      <c r="D353">
        <v>94</v>
      </c>
      <c r="E353">
        <v>135.66</v>
      </c>
    </row>
    <row r="354" spans="1:5" x14ac:dyDescent="0.25">
      <c r="A354" t="s">
        <v>357</v>
      </c>
      <c r="B354" t="s">
        <v>505</v>
      </c>
      <c r="C354">
        <v>333</v>
      </c>
      <c r="D354">
        <v>25</v>
      </c>
      <c r="E354">
        <v>95.6</v>
      </c>
    </row>
    <row r="355" spans="1:5" x14ac:dyDescent="0.25">
      <c r="A355" t="s">
        <v>358</v>
      </c>
      <c r="B355" t="s">
        <v>506</v>
      </c>
      <c r="C355">
        <v>401</v>
      </c>
      <c r="D355">
        <v>54</v>
      </c>
      <c r="E355">
        <v>75.75</v>
      </c>
    </row>
    <row r="356" spans="1:5" x14ac:dyDescent="0.25">
      <c r="A356" t="s">
        <v>359</v>
      </c>
      <c r="B356" t="s">
        <v>507</v>
      </c>
      <c r="C356">
        <v>147</v>
      </c>
      <c r="D356">
        <v>23</v>
      </c>
      <c r="E356">
        <v>22.04</v>
      </c>
    </row>
    <row r="357" spans="1:5" x14ac:dyDescent="0.25">
      <c r="A357" t="s">
        <v>360</v>
      </c>
      <c r="B357" t="s">
        <v>510</v>
      </c>
      <c r="C357">
        <v>257</v>
      </c>
      <c r="D357">
        <v>47</v>
      </c>
      <c r="E357">
        <v>122.44</v>
      </c>
    </row>
    <row r="358" spans="1:5" x14ac:dyDescent="0.25">
      <c r="A358" t="s">
        <v>361</v>
      </c>
      <c r="B358" t="s">
        <v>509</v>
      </c>
      <c r="C358">
        <v>333</v>
      </c>
      <c r="D358">
        <v>68</v>
      </c>
      <c r="E358">
        <v>79.87</v>
      </c>
    </row>
    <row r="359" spans="1:5" x14ac:dyDescent="0.25">
      <c r="A359" t="s">
        <v>362</v>
      </c>
      <c r="B359" t="s">
        <v>509</v>
      </c>
      <c r="C359">
        <v>82</v>
      </c>
      <c r="D359">
        <v>54</v>
      </c>
      <c r="E359">
        <v>38.44</v>
      </c>
    </row>
    <row r="360" spans="1:5" x14ac:dyDescent="0.25">
      <c r="A360" t="s">
        <v>363</v>
      </c>
      <c r="B360" t="s">
        <v>508</v>
      </c>
      <c r="C360">
        <v>456</v>
      </c>
      <c r="D360">
        <v>20</v>
      </c>
      <c r="E360">
        <v>119.98</v>
      </c>
    </row>
    <row r="361" spans="1:5" x14ac:dyDescent="0.25">
      <c r="A361" t="s">
        <v>364</v>
      </c>
      <c r="B361" t="s">
        <v>509</v>
      </c>
      <c r="C361">
        <v>425</v>
      </c>
      <c r="D361">
        <v>76</v>
      </c>
      <c r="E361">
        <v>34.79</v>
      </c>
    </row>
    <row r="362" spans="1:5" x14ac:dyDescent="0.25">
      <c r="A362" t="s">
        <v>365</v>
      </c>
      <c r="B362" t="s">
        <v>510</v>
      </c>
      <c r="C362">
        <v>32</v>
      </c>
      <c r="D362">
        <v>20</v>
      </c>
      <c r="E362">
        <v>148.51</v>
      </c>
    </row>
    <row r="363" spans="1:5" x14ac:dyDescent="0.25">
      <c r="A363" t="s">
        <v>366</v>
      </c>
      <c r="B363" t="s">
        <v>509</v>
      </c>
      <c r="C363">
        <v>203</v>
      </c>
      <c r="D363">
        <v>45</v>
      </c>
      <c r="E363">
        <v>10.71</v>
      </c>
    </row>
    <row r="364" spans="1:5" x14ac:dyDescent="0.25">
      <c r="A364" t="s">
        <v>367</v>
      </c>
      <c r="B364" t="s">
        <v>507</v>
      </c>
      <c r="C364">
        <v>464</v>
      </c>
      <c r="D364">
        <v>55</v>
      </c>
      <c r="E364">
        <v>113.33</v>
      </c>
    </row>
    <row r="365" spans="1:5" x14ac:dyDescent="0.25">
      <c r="A365" t="s">
        <v>368</v>
      </c>
      <c r="B365" t="s">
        <v>505</v>
      </c>
      <c r="C365">
        <v>128</v>
      </c>
      <c r="D365">
        <v>98</v>
      </c>
      <c r="E365">
        <v>19.260000000000002</v>
      </c>
    </row>
    <row r="366" spans="1:5" x14ac:dyDescent="0.25">
      <c r="A366" t="s">
        <v>369</v>
      </c>
      <c r="B366" t="s">
        <v>507</v>
      </c>
      <c r="C366">
        <v>489</v>
      </c>
      <c r="D366">
        <v>89</v>
      </c>
      <c r="E366">
        <v>93.52</v>
      </c>
    </row>
    <row r="367" spans="1:5" x14ac:dyDescent="0.25">
      <c r="A367" t="s">
        <v>370</v>
      </c>
      <c r="B367" t="s">
        <v>511</v>
      </c>
      <c r="C367">
        <v>310</v>
      </c>
      <c r="D367">
        <v>94</v>
      </c>
      <c r="E367">
        <v>129.41999999999999</v>
      </c>
    </row>
    <row r="368" spans="1:5" x14ac:dyDescent="0.25">
      <c r="A368" t="s">
        <v>371</v>
      </c>
      <c r="B368" t="s">
        <v>505</v>
      </c>
      <c r="C368">
        <v>378</v>
      </c>
      <c r="D368">
        <v>83</v>
      </c>
      <c r="E368">
        <v>65.14</v>
      </c>
    </row>
    <row r="369" spans="1:5" x14ac:dyDescent="0.25">
      <c r="A369" t="s">
        <v>372</v>
      </c>
      <c r="B369" t="s">
        <v>511</v>
      </c>
      <c r="C369">
        <v>52</v>
      </c>
      <c r="D369">
        <v>32</v>
      </c>
      <c r="E369">
        <v>137.58000000000001</v>
      </c>
    </row>
    <row r="370" spans="1:5" x14ac:dyDescent="0.25">
      <c r="A370" t="s">
        <v>373</v>
      </c>
      <c r="B370" t="s">
        <v>510</v>
      </c>
      <c r="C370">
        <v>205</v>
      </c>
      <c r="D370">
        <v>67</v>
      </c>
      <c r="E370">
        <v>156.22</v>
      </c>
    </row>
    <row r="371" spans="1:5" x14ac:dyDescent="0.25">
      <c r="A371" t="s">
        <v>374</v>
      </c>
      <c r="B371" t="s">
        <v>507</v>
      </c>
      <c r="C371">
        <v>215</v>
      </c>
      <c r="D371">
        <v>83</v>
      </c>
      <c r="E371">
        <v>127.35</v>
      </c>
    </row>
    <row r="372" spans="1:5" x14ac:dyDescent="0.25">
      <c r="A372" t="s">
        <v>375</v>
      </c>
      <c r="B372" t="s">
        <v>509</v>
      </c>
      <c r="C372">
        <v>307</v>
      </c>
      <c r="D372">
        <v>52</v>
      </c>
      <c r="E372">
        <v>159.83000000000001</v>
      </c>
    </row>
    <row r="373" spans="1:5" x14ac:dyDescent="0.25">
      <c r="A373" t="s">
        <v>376</v>
      </c>
      <c r="B373" t="s">
        <v>509</v>
      </c>
      <c r="C373">
        <v>22</v>
      </c>
      <c r="D373">
        <v>76</v>
      </c>
      <c r="E373">
        <v>169.81</v>
      </c>
    </row>
    <row r="374" spans="1:5" x14ac:dyDescent="0.25">
      <c r="A374" t="s">
        <v>377</v>
      </c>
      <c r="B374" t="s">
        <v>508</v>
      </c>
      <c r="C374">
        <v>269</v>
      </c>
      <c r="D374">
        <v>82</v>
      </c>
      <c r="E374">
        <v>196.27</v>
      </c>
    </row>
    <row r="375" spans="1:5" x14ac:dyDescent="0.25">
      <c r="A375" t="s">
        <v>378</v>
      </c>
      <c r="B375" t="s">
        <v>505</v>
      </c>
      <c r="C375">
        <v>93</v>
      </c>
      <c r="D375">
        <v>37</v>
      </c>
      <c r="E375">
        <v>191.94</v>
      </c>
    </row>
    <row r="376" spans="1:5" x14ac:dyDescent="0.25">
      <c r="A376" t="s">
        <v>379</v>
      </c>
      <c r="B376" t="s">
        <v>509</v>
      </c>
      <c r="C376">
        <v>73</v>
      </c>
      <c r="D376">
        <v>40</v>
      </c>
      <c r="E376">
        <v>177.9</v>
      </c>
    </row>
    <row r="377" spans="1:5" x14ac:dyDescent="0.25">
      <c r="A377" t="s">
        <v>380</v>
      </c>
      <c r="B377" t="s">
        <v>506</v>
      </c>
      <c r="C377">
        <v>194</v>
      </c>
      <c r="D377">
        <v>80</v>
      </c>
      <c r="E377">
        <v>36.24</v>
      </c>
    </row>
    <row r="378" spans="1:5" x14ac:dyDescent="0.25">
      <c r="A378" t="s">
        <v>381</v>
      </c>
      <c r="B378" t="s">
        <v>506</v>
      </c>
      <c r="C378">
        <v>403</v>
      </c>
      <c r="D378">
        <v>70</v>
      </c>
      <c r="E378">
        <v>181.71</v>
      </c>
    </row>
    <row r="379" spans="1:5" x14ac:dyDescent="0.25">
      <c r="A379" t="s">
        <v>382</v>
      </c>
      <c r="B379" t="s">
        <v>508</v>
      </c>
      <c r="C379">
        <v>191</v>
      </c>
      <c r="D379">
        <v>31</v>
      </c>
      <c r="E379">
        <v>83.41</v>
      </c>
    </row>
    <row r="380" spans="1:5" x14ac:dyDescent="0.25">
      <c r="A380" t="s">
        <v>383</v>
      </c>
      <c r="B380" t="s">
        <v>505</v>
      </c>
      <c r="C380">
        <v>139</v>
      </c>
      <c r="D380">
        <v>23</v>
      </c>
      <c r="E380">
        <v>160.01</v>
      </c>
    </row>
    <row r="381" spans="1:5" x14ac:dyDescent="0.25">
      <c r="A381" t="s">
        <v>384</v>
      </c>
      <c r="B381" t="s">
        <v>505</v>
      </c>
      <c r="C381">
        <v>160</v>
      </c>
      <c r="D381">
        <v>48</v>
      </c>
      <c r="E381">
        <v>114.95</v>
      </c>
    </row>
    <row r="382" spans="1:5" x14ac:dyDescent="0.25">
      <c r="A382" t="s">
        <v>385</v>
      </c>
      <c r="B382" t="s">
        <v>507</v>
      </c>
      <c r="C382">
        <v>106</v>
      </c>
      <c r="D382">
        <v>67</v>
      </c>
      <c r="E382">
        <v>197.68</v>
      </c>
    </row>
    <row r="383" spans="1:5" x14ac:dyDescent="0.25">
      <c r="A383" t="s">
        <v>386</v>
      </c>
      <c r="B383" t="s">
        <v>505</v>
      </c>
      <c r="C383">
        <v>299</v>
      </c>
      <c r="D383">
        <v>21</v>
      </c>
      <c r="E383">
        <v>100.05</v>
      </c>
    </row>
    <row r="384" spans="1:5" x14ac:dyDescent="0.25">
      <c r="A384" t="s">
        <v>387</v>
      </c>
      <c r="B384" t="s">
        <v>508</v>
      </c>
      <c r="C384">
        <v>444</v>
      </c>
      <c r="D384">
        <v>46</v>
      </c>
      <c r="E384">
        <v>129.32</v>
      </c>
    </row>
    <row r="385" spans="1:5" x14ac:dyDescent="0.25">
      <c r="A385" t="s">
        <v>388</v>
      </c>
      <c r="B385" t="s">
        <v>511</v>
      </c>
      <c r="C385">
        <v>247</v>
      </c>
      <c r="D385">
        <v>56</v>
      </c>
      <c r="E385">
        <v>143.94</v>
      </c>
    </row>
    <row r="386" spans="1:5" x14ac:dyDescent="0.25">
      <c r="A386" t="s">
        <v>389</v>
      </c>
      <c r="B386" t="s">
        <v>510</v>
      </c>
      <c r="C386">
        <v>142</v>
      </c>
      <c r="D386">
        <v>83</v>
      </c>
      <c r="E386">
        <v>170.89</v>
      </c>
    </row>
    <row r="387" spans="1:5" x14ac:dyDescent="0.25">
      <c r="A387" t="s">
        <v>390</v>
      </c>
      <c r="B387" t="s">
        <v>510</v>
      </c>
      <c r="C387">
        <v>66</v>
      </c>
      <c r="D387">
        <v>24</v>
      </c>
      <c r="E387">
        <v>182.92</v>
      </c>
    </row>
    <row r="388" spans="1:5" x14ac:dyDescent="0.25">
      <c r="A388" t="s">
        <v>391</v>
      </c>
      <c r="B388" t="s">
        <v>510</v>
      </c>
      <c r="C388">
        <v>32</v>
      </c>
      <c r="D388">
        <v>85</v>
      </c>
      <c r="E388">
        <v>50.27</v>
      </c>
    </row>
    <row r="389" spans="1:5" x14ac:dyDescent="0.25">
      <c r="A389" t="s">
        <v>392</v>
      </c>
      <c r="B389" t="s">
        <v>510</v>
      </c>
      <c r="C389">
        <v>0</v>
      </c>
      <c r="D389">
        <v>98</v>
      </c>
      <c r="E389">
        <v>135.5</v>
      </c>
    </row>
    <row r="390" spans="1:5" x14ac:dyDescent="0.25">
      <c r="A390" t="s">
        <v>393</v>
      </c>
      <c r="B390" t="s">
        <v>510</v>
      </c>
      <c r="C390">
        <v>228</v>
      </c>
      <c r="D390">
        <v>49</v>
      </c>
      <c r="E390">
        <v>197.42</v>
      </c>
    </row>
    <row r="391" spans="1:5" x14ac:dyDescent="0.25">
      <c r="A391" t="s">
        <v>394</v>
      </c>
      <c r="B391" t="s">
        <v>507</v>
      </c>
      <c r="C391">
        <v>205</v>
      </c>
      <c r="D391">
        <v>38</v>
      </c>
      <c r="E391">
        <v>158.4</v>
      </c>
    </row>
    <row r="392" spans="1:5" x14ac:dyDescent="0.25">
      <c r="A392" t="s">
        <v>395</v>
      </c>
      <c r="B392" t="s">
        <v>507</v>
      </c>
      <c r="C392">
        <v>177</v>
      </c>
      <c r="D392">
        <v>31</v>
      </c>
      <c r="E392">
        <v>150.27000000000001</v>
      </c>
    </row>
    <row r="393" spans="1:5" x14ac:dyDescent="0.25">
      <c r="A393" t="s">
        <v>396</v>
      </c>
      <c r="B393" t="s">
        <v>507</v>
      </c>
      <c r="C393">
        <v>126</v>
      </c>
      <c r="D393">
        <v>95</v>
      </c>
      <c r="E393">
        <v>159.91</v>
      </c>
    </row>
    <row r="394" spans="1:5" x14ac:dyDescent="0.25">
      <c r="A394" t="s">
        <v>397</v>
      </c>
      <c r="B394" t="s">
        <v>511</v>
      </c>
      <c r="C394">
        <v>410</v>
      </c>
      <c r="D394">
        <v>93</v>
      </c>
      <c r="E394">
        <v>21.58</v>
      </c>
    </row>
    <row r="395" spans="1:5" x14ac:dyDescent="0.25">
      <c r="A395" t="s">
        <v>398</v>
      </c>
      <c r="B395" t="s">
        <v>506</v>
      </c>
      <c r="C395">
        <v>162</v>
      </c>
      <c r="D395">
        <v>78</v>
      </c>
      <c r="E395">
        <v>59.73</v>
      </c>
    </row>
    <row r="396" spans="1:5" x14ac:dyDescent="0.25">
      <c r="A396" t="s">
        <v>399</v>
      </c>
      <c r="B396" t="s">
        <v>511</v>
      </c>
      <c r="C396">
        <v>142</v>
      </c>
      <c r="D396">
        <v>40</v>
      </c>
      <c r="E396">
        <v>29.98</v>
      </c>
    </row>
    <row r="397" spans="1:5" x14ac:dyDescent="0.25">
      <c r="A397" t="s">
        <v>400</v>
      </c>
      <c r="B397" t="s">
        <v>505</v>
      </c>
      <c r="C397">
        <v>340</v>
      </c>
      <c r="D397">
        <v>58</v>
      </c>
      <c r="E397">
        <v>177.05</v>
      </c>
    </row>
    <row r="398" spans="1:5" x14ac:dyDescent="0.25">
      <c r="A398" t="s">
        <v>401</v>
      </c>
      <c r="B398" t="s">
        <v>507</v>
      </c>
      <c r="C398">
        <v>445</v>
      </c>
      <c r="D398">
        <v>30</v>
      </c>
      <c r="E398">
        <v>189.22</v>
      </c>
    </row>
    <row r="399" spans="1:5" x14ac:dyDescent="0.25">
      <c r="A399" t="s">
        <v>402</v>
      </c>
      <c r="B399" t="s">
        <v>507</v>
      </c>
      <c r="C399">
        <v>59</v>
      </c>
      <c r="D399">
        <v>89</v>
      </c>
      <c r="E399">
        <v>130.96</v>
      </c>
    </row>
    <row r="400" spans="1:5" x14ac:dyDescent="0.25">
      <c r="A400" t="s">
        <v>403</v>
      </c>
      <c r="B400" t="s">
        <v>505</v>
      </c>
      <c r="C400">
        <v>119</v>
      </c>
      <c r="D400">
        <v>61</v>
      </c>
      <c r="E400">
        <v>112.37</v>
      </c>
    </row>
    <row r="401" spans="1:5" x14ac:dyDescent="0.25">
      <c r="A401" t="s">
        <v>404</v>
      </c>
      <c r="B401" t="s">
        <v>509</v>
      </c>
      <c r="C401">
        <v>331</v>
      </c>
      <c r="D401">
        <v>93</v>
      </c>
      <c r="E401">
        <v>19.41</v>
      </c>
    </row>
    <row r="402" spans="1:5" x14ac:dyDescent="0.25">
      <c r="A402" t="s">
        <v>405</v>
      </c>
      <c r="B402" t="s">
        <v>508</v>
      </c>
      <c r="C402">
        <v>395</v>
      </c>
      <c r="D402">
        <v>31</v>
      </c>
      <c r="E402">
        <v>26.6</v>
      </c>
    </row>
    <row r="403" spans="1:5" x14ac:dyDescent="0.25">
      <c r="A403" t="s">
        <v>406</v>
      </c>
      <c r="B403" t="s">
        <v>508</v>
      </c>
      <c r="C403">
        <v>293</v>
      </c>
      <c r="D403">
        <v>35</v>
      </c>
      <c r="E403">
        <v>148.72999999999999</v>
      </c>
    </row>
    <row r="404" spans="1:5" x14ac:dyDescent="0.25">
      <c r="A404" t="s">
        <v>407</v>
      </c>
      <c r="B404" t="s">
        <v>508</v>
      </c>
      <c r="C404">
        <v>52</v>
      </c>
      <c r="D404">
        <v>54</v>
      </c>
      <c r="E404">
        <v>193.3</v>
      </c>
    </row>
    <row r="405" spans="1:5" x14ac:dyDescent="0.25">
      <c r="A405" t="s">
        <v>408</v>
      </c>
      <c r="B405" t="s">
        <v>506</v>
      </c>
      <c r="C405">
        <v>189</v>
      </c>
      <c r="D405">
        <v>40</v>
      </c>
      <c r="E405">
        <v>181.46</v>
      </c>
    </row>
    <row r="406" spans="1:5" x14ac:dyDescent="0.25">
      <c r="A406" t="s">
        <v>409</v>
      </c>
      <c r="B406" t="s">
        <v>509</v>
      </c>
      <c r="C406">
        <v>42</v>
      </c>
      <c r="D406">
        <v>36</v>
      </c>
      <c r="E406">
        <v>196.85</v>
      </c>
    </row>
    <row r="407" spans="1:5" x14ac:dyDescent="0.25">
      <c r="A407" t="s">
        <v>410</v>
      </c>
      <c r="B407" t="s">
        <v>511</v>
      </c>
      <c r="C407">
        <v>410</v>
      </c>
      <c r="D407">
        <v>27</v>
      </c>
      <c r="E407">
        <v>129.74</v>
      </c>
    </row>
    <row r="408" spans="1:5" x14ac:dyDescent="0.25">
      <c r="A408" t="s">
        <v>411</v>
      </c>
      <c r="B408" t="s">
        <v>510</v>
      </c>
      <c r="C408">
        <v>97</v>
      </c>
      <c r="D408">
        <v>47</v>
      </c>
      <c r="E408">
        <v>184.25</v>
      </c>
    </row>
    <row r="409" spans="1:5" x14ac:dyDescent="0.25">
      <c r="A409" t="s">
        <v>412</v>
      </c>
      <c r="B409" t="s">
        <v>507</v>
      </c>
      <c r="C409">
        <v>6</v>
      </c>
      <c r="D409">
        <v>53</v>
      </c>
      <c r="E409">
        <v>74.739999999999995</v>
      </c>
    </row>
    <row r="410" spans="1:5" x14ac:dyDescent="0.25">
      <c r="A410" t="s">
        <v>413</v>
      </c>
      <c r="B410" t="s">
        <v>507</v>
      </c>
      <c r="C410">
        <v>394</v>
      </c>
      <c r="D410">
        <v>29</v>
      </c>
      <c r="E410">
        <v>119.03</v>
      </c>
    </row>
    <row r="411" spans="1:5" x14ac:dyDescent="0.25">
      <c r="A411" t="s">
        <v>414</v>
      </c>
      <c r="B411" t="s">
        <v>507</v>
      </c>
      <c r="C411">
        <v>289</v>
      </c>
      <c r="D411">
        <v>47</v>
      </c>
      <c r="E411">
        <v>37.590000000000003</v>
      </c>
    </row>
    <row r="412" spans="1:5" x14ac:dyDescent="0.25">
      <c r="A412" t="s">
        <v>415</v>
      </c>
      <c r="B412" t="s">
        <v>508</v>
      </c>
      <c r="C412">
        <v>96</v>
      </c>
      <c r="D412">
        <v>25</v>
      </c>
      <c r="E412">
        <v>148.58000000000001</v>
      </c>
    </row>
    <row r="413" spans="1:5" x14ac:dyDescent="0.25">
      <c r="A413" t="s">
        <v>416</v>
      </c>
      <c r="B413" t="s">
        <v>511</v>
      </c>
      <c r="C413">
        <v>36</v>
      </c>
      <c r="D413">
        <v>86</v>
      </c>
      <c r="E413">
        <v>182.76</v>
      </c>
    </row>
    <row r="414" spans="1:5" x14ac:dyDescent="0.25">
      <c r="A414" t="s">
        <v>417</v>
      </c>
      <c r="B414" t="s">
        <v>511</v>
      </c>
      <c r="C414">
        <v>82</v>
      </c>
      <c r="D414">
        <v>26</v>
      </c>
      <c r="E414">
        <v>24.11</v>
      </c>
    </row>
    <row r="415" spans="1:5" x14ac:dyDescent="0.25">
      <c r="A415" t="s">
        <v>418</v>
      </c>
      <c r="B415" t="s">
        <v>508</v>
      </c>
      <c r="C415">
        <v>471</v>
      </c>
      <c r="D415">
        <v>74</v>
      </c>
      <c r="E415">
        <v>185.92</v>
      </c>
    </row>
    <row r="416" spans="1:5" x14ac:dyDescent="0.25">
      <c r="A416" t="s">
        <v>419</v>
      </c>
      <c r="B416" t="s">
        <v>506</v>
      </c>
      <c r="C416">
        <v>12</v>
      </c>
      <c r="D416">
        <v>61</v>
      </c>
      <c r="E416">
        <v>9.2799999999999994</v>
      </c>
    </row>
    <row r="417" spans="1:5" x14ac:dyDescent="0.25">
      <c r="A417" t="s">
        <v>420</v>
      </c>
      <c r="B417" t="s">
        <v>509</v>
      </c>
      <c r="C417">
        <v>119</v>
      </c>
      <c r="D417">
        <v>65</v>
      </c>
      <c r="E417">
        <v>18.14</v>
      </c>
    </row>
    <row r="418" spans="1:5" x14ac:dyDescent="0.25">
      <c r="A418" t="s">
        <v>421</v>
      </c>
      <c r="B418" t="s">
        <v>507</v>
      </c>
      <c r="C418">
        <v>220</v>
      </c>
      <c r="D418">
        <v>22</v>
      </c>
      <c r="E418">
        <v>130.05000000000001</v>
      </c>
    </row>
    <row r="419" spans="1:5" x14ac:dyDescent="0.25">
      <c r="A419" t="s">
        <v>422</v>
      </c>
      <c r="B419" t="s">
        <v>511</v>
      </c>
      <c r="C419">
        <v>234</v>
      </c>
      <c r="D419">
        <v>44</v>
      </c>
      <c r="E419">
        <v>50.51</v>
      </c>
    </row>
    <row r="420" spans="1:5" x14ac:dyDescent="0.25">
      <c r="A420" t="s">
        <v>423</v>
      </c>
      <c r="B420" t="s">
        <v>507</v>
      </c>
      <c r="C420">
        <v>241</v>
      </c>
      <c r="D420">
        <v>72</v>
      </c>
      <c r="E420">
        <v>186.5</v>
      </c>
    </row>
    <row r="421" spans="1:5" x14ac:dyDescent="0.25">
      <c r="A421" t="s">
        <v>424</v>
      </c>
      <c r="B421" t="s">
        <v>508</v>
      </c>
      <c r="C421">
        <v>444</v>
      </c>
      <c r="D421">
        <v>81</v>
      </c>
      <c r="E421">
        <v>3.86</v>
      </c>
    </row>
    <row r="422" spans="1:5" x14ac:dyDescent="0.25">
      <c r="A422" t="s">
        <v>425</v>
      </c>
      <c r="B422" t="s">
        <v>510</v>
      </c>
      <c r="C422">
        <v>266</v>
      </c>
      <c r="D422">
        <v>30</v>
      </c>
      <c r="E422">
        <v>99.64</v>
      </c>
    </row>
    <row r="423" spans="1:5" x14ac:dyDescent="0.25">
      <c r="A423" t="s">
        <v>426</v>
      </c>
      <c r="B423" t="s">
        <v>509</v>
      </c>
      <c r="C423">
        <v>72</v>
      </c>
      <c r="D423">
        <v>24</v>
      </c>
      <c r="E423">
        <v>22.11</v>
      </c>
    </row>
    <row r="424" spans="1:5" x14ac:dyDescent="0.25">
      <c r="A424" t="s">
        <v>427</v>
      </c>
      <c r="B424" t="s">
        <v>507</v>
      </c>
      <c r="C424">
        <v>310</v>
      </c>
      <c r="D424">
        <v>29</v>
      </c>
      <c r="E424">
        <v>111.67</v>
      </c>
    </row>
    <row r="425" spans="1:5" x14ac:dyDescent="0.25">
      <c r="A425" t="s">
        <v>428</v>
      </c>
      <c r="B425" t="s">
        <v>511</v>
      </c>
      <c r="C425">
        <v>239</v>
      </c>
      <c r="D425">
        <v>61</v>
      </c>
      <c r="E425">
        <v>197.31</v>
      </c>
    </row>
    <row r="426" spans="1:5" x14ac:dyDescent="0.25">
      <c r="A426" t="s">
        <v>429</v>
      </c>
      <c r="B426" t="s">
        <v>505</v>
      </c>
      <c r="C426">
        <v>479</v>
      </c>
      <c r="D426">
        <v>78</v>
      </c>
      <c r="E426">
        <v>130.76</v>
      </c>
    </row>
    <row r="427" spans="1:5" x14ac:dyDescent="0.25">
      <c r="A427" t="s">
        <v>430</v>
      </c>
      <c r="B427" t="s">
        <v>511</v>
      </c>
      <c r="C427">
        <v>198</v>
      </c>
      <c r="D427">
        <v>21</v>
      </c>
      <c r="E427">
        <v>74.3</v>
      </c>
    </row>
    <row r="428" spans="1:5" x14ac:dyDescent="0.25">
      <c r="A428" t="s">
        <v>431</v>
      </c>
      <c r="B428" t="s">
        <v>506</v>
      </c>
      <c r="C428">
        <v>383</v>
      </c>
      <c r="D428">
        <v>90</v>
      </c>
      <c r="E428">
        <v>154.76</v>
      </c>
    </row>
    <row r="429" spans="1:5" x14ac:dyDescent="0.25">
      <c r="A429" t="s">
        <v>432</v>
      </c>
      <c r="B429" t="s">
        <v>509</v>
      </c>
      <c r="C429">
        <v>55</v>
      </c>
      <c r="D429">
        <v>87</v>
      </c>
      <c r="E429">
        <v>27.69</v>
      </c>
    </row>
    <row r="430" spans="1:5" x14ac:dyDescent="0.25">
      <c r="A430" t="s">
        <v>433</v>
      </c>
      <c r="B430" t="s">
        <v>511</v>
      </c>
      <c r="C430">
        <v>421</v>
      </c>
      <c r="D430">
        <v>36</v>
      </c>
      <c r="E430">
        <v>166.82</v>
      </c>
    </row>
    <row r="431" spans="1:5" x14ac:dyDescent="0.25">
      <c r="A431" t="s">
        <v>434</v>
      </c>
      <c r="B431" t="s">
        <v>506</v>
      </c>
      <c r="C431">
        <v>348</v>
      </c>
      <c r="D431">
        <v>20</v>
      </c>
      <c r="E431">
        <v>140.53</v>
      </c>
    </row>
    <row r="432" spans="1:5" x14ac:dyDescent="0.25">
      <c r="A432" t="s">
        <v>435</v>
      </c>
      <c r="B432" t="s">
        <v>505</v>
      </c>
      <c r="C432">
        <v>174</v>
      </c>
      <c r="D432">
        <v>44</v>
      </c>
      <c r="E432">
        <v>168.76</v>
      </c>
    </row>
    <row r="433" spans="1:5" x14ac:dyDescent="0.25">
      <c r="A433" t="s">
        <v>436</v>
      </c>
      <c r="B433" t="s">
        <v>511</v>
      </c>
      <c r="C433">
        <v>342</v>
      </c>
      <c r="D433">
        <v>36</v>
      </c>
      <c r="E433">
        <v>56.35</v>
      </c>
    </row>
    <row r="434" spans="1:5" x14ac:dyDescent="0.25">
      <c r="A434" t="s">
        <v>437</v>
      </c>
      <c r="B434" t="s">
        <v>508</v>
      </c>
      <c r="C434">
        <v>439</v>
      </c>
      <c r="D434">
        <v>58</v>
      </c>
      <c r="E434">
        <v>104.18</v>
      </c>
    </row>
    <row r="435" spans="1:5" x14ac:dyDescent="0.25">
      <c r="A435" t="s">
        <v>438</v>
      </c>
      <c r="B435" t="s">
        <v>508</v>
      </c>
      <c r="C435">
        <v>65</v>
      </c>
      <c r="D435">
        <v>25</v>
      </c>
      <c r="E435">
        <v>187.89</v>
      </c>
    </row>
    <row r="436" spans="1:5" x14ac:dyDescent="0.25">
      <c r="A436" t="s">
        <v>439</v>
      </c>
      <c r="B436" t="s">
        <v>505</v>
      </c>
      <c r="C436">
        <v>420</v>
      </c>
      <c r="D436">
        <v>48</v>
      </c>
      <c r="E436">
        <v>85.74</v>
      </c>
    </row>
    <row r="437" spans="1:5" x14ac:dyDescent="0.25">
      <c r="A437" t="s">
        <v>440</v>
      </c>
      <c r="B437" t="s">
        <v>510</v>
      </c>
      <c r="C437">
        <v>338</v>
      </c>
      <c r="D437">
        <v>69</v>
      </c>
      <c r="E437">
        <v>130.62</v>
      </c>
    </row>
    <row r="438" spans="1:5" x14ac:dyDescent="0.25">
      <c r="A438" t="s">
        <v>441</v>
      </c>
      <c r="B438" t="s">
        <v>511</v>
      </c>
      <c r="C438">
        <v>493</v>
      </c>
      <c r="D438">
        <v>50</v>
      </c>
      <c r="E438">
        <v>114.8</v>
      </c>
    </row>
    <row r="439" spans="1:5" x14ac:dyDescent="0.25">
      <c r="A439" t="s">
        <v>442</v>
      </c>
      <c r="B439" t="s">
        <v>506</v>
      </c>
      <c r="C439">
        <v>24</v>
      </c>
      <c r="D439">
        <v>46</v>
      </c>
      <c r="E439">
        <v>150.9</v>
      </c>
    </row>
    <row r="440" spans="1:5" x14ac:dyDescent="0.25">
      <c r="A440" t="s">
        <v>443</v>
      </c>
      <c r="B440" t="s">
        <v>511</v>
      </c>
      <c r="C440">
        <v>362</v>
      </c>
      <c r="D440">
        <v>97</v>
      </c>
      <c r="E440">
        <v>13.07</v>
      </c>
    </row>
    <row r="441" spans="1:5" x14ac:dyDescent="0.25">
      <c r="A441" t="s">
        <v>444</v>
      </c>
      <c r="B441" t="s">
        <v>510</v>
      </c>
      <c r="C441">
        <v>278</v>
      </c>
      <c r="D441">
        <v>97</v>
      </c>
      <c r="E441">
        <v>58.03</v>
      </c>
    </row>
    <row r="442" spans="1:5" x14ac:dyDescent="0.25">
      <c r="A442" t="s">
        <v>445</v>
      </c>
      <c r="B442" t="s">
        <v>510</v>
      </c>
      <c r="C442">
        <v>421</v>
      </c>
      <c r="D442">
        <v>100</v>
      </c>
      <c r="E442">
        <v>51.69</v>
      </c>
    </row>
    <row r="443" spans="1:5" x14ac:dyDescent="0.25">
      <c r="A443" t="s">
        <v>446</v>
      </c>
      <c r="B443" t="s">
        <v>510</v>
      </c>
      <c r="C443">
        <v>449</v>
      </c>
      <c r="D443">
        <v>52</v>
      </c>
      <c r="E443">
        <v>168.89</v>
      </c>
    </row>
    <row r="444" spans="1:5" x14ac:dyDescent="0.25">
      <c r="A444" t="s">
        <v>447</v>
      </c>
      <c r="B444" t="s">
        <v>511</v>
      </c>
      <c r="C444">
        <v>361</v>
      </c>
      <c r="D444">
        <v>92</v>
      </c>
      <c r="E444">
        <v>78.41</v>
      </c>
    </row>
    <row r="445" spans="1:5" x14ac:dyDescent="0.25">
      <c r="A445" t="s">
        <v>448</v>
      </c>
      <c r="B445" t="s">
        <v>506</v>
      </c>
      <c r="C445">
        <v>258</v>
      </c>
      <c r="D445">
        <v>62</v>
      </c>
      <c r="E445">
        <v>40.72</v>
      </c>
    </row>
    <row r="446" spans="1:5" x14ac:dyDescent="0.25">
      <c r="A446" t="s">
        <v>449</v>
      </c>
      <c r="B446" t="s">
        <v>507</v>
      </c>
      <c r="C446">
        <v>330</v>
      </c>
      <c r="D446">
        <v>75</v>
      </c>
      <c r="E446">
        <v>33.4</v>
      </c>
    </row>
    <row r="447" spans="1:5" x14ac:dyDescent="0.25">
      <c r="A447" t="s">
        <v>450</v>
      </c>
      <c r="B447" t="s">
        <v>507</v>
      </c>
      <c r="C447">
        <v>83</v>
      </c>
      <c r="D447">
        <v>88</v>
      </c>
      <c r="E447">
        <v>135.38999999999999</v>
      </c>
    </row>
    <row r="448" spans="1:5" x14ac:dyDescent="0.25">
      <c r="A448" t="s">
        <v>451</v>
      </c>
      <c r="B448" t="s">
        <v>505</v>
      </c>
      <c r="C448">
        <v>186</v>
      </c>
      <c r="D448">
        <v>41</v>
      </c>
      <c r="E448">
        <v>54.66</v>
      </c>
    </row>
    <row r="449" spans="1:5" x14ac:dyDescent="0.25">
      <c r="A449" t="s">
        <v>452</v>
      </c>
      <c r="B449" t="s">
        <v>510</v>
      </c>
      <c r="C449">
        <v>63</v>
      </c>
      <c r="D449">
        <v>71</v>
      </c>
      <c r="E449">
        <v>152.72</v>
      </c>
    </row>
    <row r="450" spans="1:5" x14ac:dyDescent="0.25">
      <c r="A450" t="s">
        <v>453</v>
      </c>
      <c r="B450" t="s">
        <v>506</v>
      </c>
      <c r="C450">
        <v>494</v>
      </c>
      <c r="D450">
        <v>60</v>
      </c>
      <c r="E450">
        <v>160.38999999999999</v>
      </c>
    </row>
    <row r="451" spans="1:5" x14ac:dyDescent="0.25">
      <c r="A451" t="s">
        <v>454</v>
      </c>
      <c r="B451" t="s">
        <v>505</v>
      </c>
      <c r="C451">
        <v>173</v>
      </c>
      <c r="D451">
        <v>41</v>
      </c>
      <c r="E451">
        <v>172.6</v>
      </c>
    </row>
    <row r="452" spans="1:5" x14ac:dyDescent="0.25">
      <c r="A452" t="s">
        <v>455</v>
      </c>
      <c r="B452" t="s">
        <v>511</v>
      </c>
      <c r="C452">
        <v>146</v>
      </c>
      <c r="D452">
        <v>64</v>
      </c>
      <c r="E452">
        <v>178.01</v>
      </c>
    </row>
    <row r="453" spans="1:5" x14ac:dyDescent="0.25">
      <c r="A453" t="s">
        <v>456</v>
      </c>
      <c r="B453" t="s">
        <v>507</v>
      </c>
      <c r="C453">
        <v>8</v>
      </c>
      <c r="D453">
        <v>84</v>
      </c>
      <c r="E453">
        <v>30.68</v>
      </c>
    </row>
    <row r="454" spans="1:5" x14ac:dyDescent="0.25">
      <c r="A454" t="s">
        <v>457</v>
      </c>
      <c r="B454" t="s">
        <v>509</v>
      </c>
      <c r="C454">
        <v>337</v>
      </c>
      <c r="D454">
        <v>93</v>
      </c>
      <c r="E454">
        <v>4.2</v>
      </c>
    </row>
    <row r="455" spans="1:5" x14ac:dyDescent="0.25">
      <c r="A455" t="s">
        <v>458</v>
      </c>
      <c r="B455" t="s">
        <v>511</v>
      </c>
      <c r="C455">
        <v>448</v>
      </c>
      <c r="D455">
        <v>69</v>
      </c>
      <c r="E455">
        <v>108.09</v>
      </c>
    </row>
    <row r="456" spans="1:5" x14ac:dyDescent="0.25">
      <c r="A456" t="s">
        <v>459</v>
      </c>
      <c r="B456" t="s">
        <v>511</v>
      </c>
      <c r="C456">
        <v>319</v>
      </c>
      <c r="D456">
        <v>36</v>
      </c>
      <c r="E456">
        <v>70.81</v>
      </c>
    </row>
    <row r="457" spans="1:5" x14ac:dyDescent="0.25">
      <c r="A457" t="s">
        <v>460</v>
      </c>
      <c r="B457" t="s">
        <v>511</v>
      </c>
      <c r="C457">
        <v>162</v>
      </c>
      <c r="D457">
        <v>84</v>
      </c>
      <c r="E457">
        <v>109.81</v>
      </c>
    </row>
    <row r="458" spans="1:5" x14ac:dyDescent="0.25">
      <c r="A458" t="s">
        <v>461</v>
      </c>
      <c r="B458" t="s">
        <v>508</v>
      </c>
      <c r="C458">
        <v>466</v>
      </c>
      <c r="D458">
        <v>66</v>
      </c>
      <c r="E458">
        <v>162.41</v>
      </c>
    </row>
    <row r="459" spans="1:5" x14ac:dyDescent="0.25">
      <c r="A459" t="s">
        <v>462</v>
      </c>
      <c r="B459" t="s">
        <v>510</v>
      </c>
      <c r="C459">
        <v>87</v>
      </c>
      <c r="D459">
        <v>91</v>
      </c>
      <c r="E459">
        <v>10.63</v>
      </c>
    </row>
    <row r="460" spans="1:5" x14ac:dyDescent="0.25">
      <c r="A460" t="s">
        <v>463</v>
      </c>
      <c r="B460" t="s">
        <v>506</v>
      </c>
      <c r="C460">
        <v>333</v>
      </c>
      <c r="D460">
        <v>20</v>
      </c>
      <c r="E460">
        <v>117.94</v>
      </c>
    </row>
    <row r="461" spans="1:5" x14ac:dyDescent="0.25">
      <c r="A461" t="s">
        <v>464</v>
      </c>
      <c r="B461" t="s">
        <v>506</v>
      </c>
      <c r="C461">
        <v>63</v>
      </c>
      <c r="D461">
        <v>100</v>
      </c>
      <c r="E461">
        <v>171.33</v>
      </c>
    </row>
    <row r="462" spans="1:5" x14ac:dyDescent="0.25">
      <c r="A462" t="s">
        <v>465</v>
      </c>
      <c r="B462" t="s">
        <v>506</v>
      </c>
      <c r="C462">
        <v>253</v>
      </c>
      <c r="D462">
        <v>49</v>
      </c>
      <c r="E462">
        <v>16.79</v>
      </c>
    </row>
    <row r="463" spans="1:5" x14ac:dyDescent="0.25">
      <c r="A463" t="s">
        <v>466</v>
      </c>
      <c r="B463" t="s">
        <v>511</v>
      </c>
      <c r="C463">
        <v>453</v>
      </c>
      <c r="D463">
        <v>88</v>
      </c>
      <c r="E463">
        <v>128.54</v>
      </c>
    </row>
    <row r="464" spans="1:5" x14ac:dyDescent="0.25">
      <c r="A464" t="s">
        <v>467</v>
      </c>
      <c r="B464" t="s">
        <v>505</v>
      </c>
      <c r="C464">
        <v>3</v>
      </c>
      <c r="D464">
        <v>57</v>
      </c>
      <c r="E464">
        <v>87.48</v>
      </c>
    </row>
    <row r="465" spans="1:5" x14ac:dyDescent="0.25">
      <c r="A465" t="s">
        <v>468</v>
      </c>
      <c r="B465" t="s">
        <v>511</v>
      </c>
      <c r="C465">
        <v>227</v>
      </c>
      <c r="D465">
        <v>21</v>
      </c>
      <c r="E465">
        <v>58.75</v>
      </c>
    </row>
    <row r="466" spans="1:5" x14ac:dyDescent="0.25">
      <c r="A466" t="s">
        <v>469</v>
      </c>
      <c r="B466" t="s">
        <v>507</v>
      </c>
      <c r="C466">
        <v>307</v>
      </c>
      <c r="D466">
        <v>29</v>
      </c>
      <c r="E466">
        <v>37.94</v>
      </c>
    </row>
    <row r="467" spans="1:5" x14ac:dyDescent="0.25">
      <c r="A467" t="s">
        <v>470</v>
      </c>
      <c r="B467" t="s">
        <v>509</v>
      </c>
      <c r="C467">
        <v>119</v>
      </c>
      <c r="D467">
        <v>60</v>
      </c>
      <c r="E467">
        <v>187.62</v>
      </c>
    </row>
    <row r="468" spans="1:5" x14ac:dyDescent="0.25">
      <c r="A468" t="s">
        <v>471</v>
      </c>
      <c r="B468" t="s">
        <v>510</v>
      </c>
      <c r="C468">
        <v>419</v>
      </c>
      <c r="D468">
        <v>27</v>
      </c>
      <c r="E468">
        <v>179.1</v>
      </c>
    </row>
    <row r="469" spans="1:5" x14ac:dyDescent="0.25">
      <c r="A469" t="s">
        <v>472</v>
      </c>
      <c r="B469" t="s">
        <v>507</v>
      </c>
      <c r="C469">
        <v>48</v>
      </c>
      <c r="D469">
        <v>27</v>
      </c>
      <c r="E469">
        <v>61.23</v>
      </c>
    </row>
    <row r="470" spans="1:5" x14ac:dyDescent="0.25">
      <c r="A470" t="s">
        <v>473</v>
      </c>
      <c r="B470" t="s">
        <v>508</v>
      </c>
      <c r="C470">
        <v>454</v>
      </c>
      <c r="D470">
        <v>53</v>
      </c>
      <c r="E470">
        <v>70.62</v>
      </c>
    </row>
    <row r="471" spans="1:5" x14ac:dyDescent="0.25">
      <c r="A471" t="s">
        <v>474</v>
      </c>
      <c r="B471" t="s">
        <v>511</v>
      </c>
      <c r="C471">
        <v>179</v>
      </c>
      <c r="D471">
        <v>59</v>
      </c>
      <c r="E471">
        <v>63.73</v>
      </c>
    </row>
    <row r="472" spans="1:5" x14ac:dyDescent="0.25">
      <c r="A472" t="s">
        <v>475</v>
      </c>
      <c r="B472" t="s">
        <v>509</v>
      </c>
      <c r="C472">
        <v>42</v>
      </c>
      <c r="D472">
        <v>26</v>
      </c>
      <c r="E472">
        <v>155.19999999999999</v>
      </c>
    </row>
    <row r="473" spans="1:5" x14ac:dyDescent="0.25">
      <c r="A473" t="s">
        <v>476</v>
      </c>
      <c r="B473" t="s">
        <v>506</v>
      </c>
      <c r="C473">
        <v>288</v>
      </c>
      <c r="D473">
        <v>38</v>
      </c>
      <c r="E473">
        <v>95.74</v>
      </c>
    </row>
    <row r="474" spans="1:5" x14ac:dyDescent="0.25">
      <c r="A474" t="s">
        <v>477</v>
      </c>
      <c r="B474" t="s">
        <v>511</v>
      </c>
      <c r="C474">
        <v>178</v>
      </c>
      <c r="D474">
        <v>67</v>
      </c>
      <c r="E474">
        <v>20.309999999999999</v>
      </c>
    </row>
    <row r="475" spans="1:5" x14ac:dyDescent="0.25">
      <c r="A475" t="s">
        <v>478</v>
      </c>
      <c r="B475" t="s">
        <v>505</v>
      </c>
      <c r="C475">
        <v>267</v>
      </c>
      <c r="D475">
        <v>24</v>
      </c>
      <c r="E475">
        <v>138.83000000000001</v>
      </c>
    </row>
    <row r="476" spans="1:5" x14ac:dyDescent="0.25">
      <c r="A476" t="s">
        <v>479</v>
      </c>
      <c r="B476" t="s">
        <v>508</v>
      </c>
      <c r="C476">
        <v>392</v>
      </c>
      <c r="D476">
        <v>91</v>
      </c>
      <c r="E476">
        <v>100.38</v>
      </c>
    </row>
    <row r="477" spans="1:5" x14ac:dyDescent="0.25">
      <c r="A477" t="s">
        <v>480</v>
      </c>
      <c r="B477" t="s">
        <v>507</v>
      </c>
      <c r="C477">
        <v>194</v>
      </c>
      <c r="D477">
        <v>81</v>
      </c>
      <c r="E477">
        <v>74.510000000000005</v>
      </c>
    </row>
    <row r="478" spans="1:5" x14ac:dyDescent="0.25">
      <c r="A478" t="s">
        <v>481</v>
      </c>
      <c r="B478" t="s">
        <v>508</v>
      </c>
      <c r="C478">
        <v>150</v>
      </c>
      <c r="D478">
        <v>82</v>
      </c>
      <c r="E478">
        <v>54.41</v>
      </c>
    </row>
    <row r="479" spans="1:5" x14ac:dyDescent="0.25">
      <c r="A479" t="s">
        <v>482</v>
      </c>
      <c r="B479" t="s">
        <v>506</v>
      </c>
      <c r="C479">
        <v>230</v>
      </c>
      <c r="D479">
        <v>76</v>
      </c>
      <c r="E479">
        <v>164.84</v>
      </c>
    </row>
    <row r="480" spans="1:5" x14ac:dyDescent="0.25">
      <c r="A480" t="s">
        <v>483</v>
      </c>
      <c r="B480" t="s">
        <v>508</v>
      </c>
      <c r="C480">
        <v>345</v>
      </c>
      <c r="D480">
        <v>60</v>
      </c>
      <c r="E480">
        <v>73.89</v>
      </c>
    </row>
    <row r="481" spans="1:5" x14ac:dyDescent="0.25">
      <c r="A481" t="s">
        <v>484</v>
      </c>
      <c r="B481" t="s">
        <v>506</v>
      </c>
      <c r="C481">
        <v>115</v>
      </c>
      <c r="D481">
        <v>90</v>
      </c>
      <c r="E481">
        <v>148.41</v>
      </c>
    </row>
    <row r="482" spans="1:5" x14ac:dyDescent="0.25">
      <c r="A482" t="s">
        <v>485</v>
      </c>
      <c r="B482" t="s">
        <v>507</v>
      </c>
      <c r="C482">
        <v>423</v>
      </c>
      <c r="D482">
        <v>68</v>
      </c>
      <c r="E482">
        <v>111.14</v>
      </c>
    </row>
    <row r="483" spans="1:5" x14ac:dyDescent="0.25">
      <c r="A483" t="s">
        <v>486</v>
      </c>
      <c r="B483" t="s">
        <v>510</v>
      </c>
      <c r="C483">
        <v>396</v>
      </c>
      <c r="D483">
        <v>87</v>
      </c>
      <c r="E483">
        <v>125.49</v>
      </c>
    </row>
    <row r="484" spans="1:5" x14ac:dyDescent="0.25">
      <c r="A484" t="s">
        <v>487</v>
      </c>
      <c r="B484" t="s">
        <v>509</v>
      </c>
      <c r="C484">
        <v>166</v>
      </c>
      <c r="D484">
        <v>68</v>
      </c>
      <c r="E484">
        <v>54.96</v>
      </c>
    </row>
    <row r="485" spans="1:5" x14ac:dyDescent="0.25">
      <c r="A485" t="s">
        <v>488</v>
      </c>
      <c r="B485" t="s">
        <v>511</v>
      </c>
      <c r="C485">
        <v>46</v>
      </c>
      <c r="D485">
        <v>71</v>
      </c>
      <c r="E485">
        <v>100.69</v>
      </c>
    </row>
    <row r="486" spans="1:5" x14ac:dyDescent="0.25">
      <c r="A486" t="s">
        <v>489</v>
      </c>
      <c r="B486" t="s">
        <v>511</v>
      </c>
      <c r="C486">
        <v>414</v>
      </c>
      <c r="D486">
        <v>54</v>
      </c>
      <c r="E486">
        <v>129.54</v>
      </c>
    </row>
    <row r="487" spans="1:5" x14ac:dyDescent="0.25">
      <c r="A487" t="s">
        <v>490</v>
      </c>
      <c r="B487" t="s">
        <v>506</v>
      </c>
      <c r="C487">
        <v>270</v>
      </c>
      <c r="D487">
        <v>88</v>
      </c>
      <c r="E487">
        <v>164.9</v>
      </c>
    </row>
    <row r="488" spans="1:5" x14ac:dyDescent="0.25">
      <c r="A488" t="s">
        <v>491</v>
      </c>
      <c r="B488" t="s">
        <v>509</v>
      </c>
      <c r="C488">
        <v>273</v>
      </c>
      <c r="D488">
        <v>94</v>
      </c>
      <c r="E488">
        <v>37.29</v>
      </c>
    </row>
    <row r="489" spans="1:5" x14ac:dyDescent="0.25">
      <c r="A489" t="s">
        <v>492</v>
      </c>
      <c r="B489" t="s">
        <v>506</v>
      </c>
      <c r="C489">
        <v>378</v>
      </c>
      <c r="D489">
        <v>80</v>
      </c>
      <c r="E489">
        <v>46.06</v>
      </c>
    </row>
    <row r="490" spans="1:5" x14ac:dyDescent="0.25">
      <c r="A490" t="s">
        <v>493</v>
      </c>
      <c r="B490" t="s">
        <v>510</v>
      </c>
      <c r="C490">
        <v>51</v>
      </c>
      <c r="D490">
        <v>73</v>
      </c>
      <c r="E490">
        <v>117.44</v>
      </c>
    </row>
    <row r="491" spans="1:5" x14ac:dyDescent="0.25">
      <c r="A491" t="s">
        <v>494</v>
      </c>
      <c r="B491" t="s">
        <v>507</v>
      </c>
      <c r="C491">
        <v>386</v>
      </c>
      <c r="D491">
        <v>62</v>
      </c>
      <c r="E491">
        <v>158.38</v>
      </c>
    </row>
    <row r="492" spans="1:5" x14ac:dyDescent="0.25">
      <c r="A492" t="s">
        <v>495</v>
      </c>
      <c r="B492" t="s">
        <v>505</v>
      </c>
      <c r="C492">
        <v>131</v>
      </c>
      <c r="D492">
        <v>82</v>
      </c>
      <c r="E492">
        <v>179.08</v>
      </c>
    </row>
    <row r="493" spans="1:5" x14ac:dyDescent="0.25">
      <c r="A493" t="s">
        <v>496</v>
      </c>
      <c r="B493" t="s">
        <v>505</v>
      </c>
      <c r="C493">
        <v>218</v>
      </c>
      <c r="D493">
        <v>34</v>
      </c>
      <c r="E493">
        <v>150.88999999999999</v>
      </c>
    </row>
    <row r="494" spans="1:5" x14ac:dyDescent="0.25">
      <c r="A494" t="s">
        <v>497</v>
      </c>
      <c r="B494" t="s">
        <v>505</v>
      </c>
      <c r="C494">
        <v>111</v>
      </c>
      <c r="D494">
        <v>60</v>
      </c>
      <c r="E494">
        <v>124.11</v>
      </c>
    </row>
    <row r="495" spans="1:5" x14ac:dyDescent="0.25">
      <c r="A495" t="s">
        <v>498</v>
      </c>
      <c r="B495" t="s">
        <v>509</v>
      </c>
      <c r="C495">
        <v>411</v>
      </c>
      <c r="D495">
        <v>96</v>
      </c>
      <c r="E495">
        <v>5.3</v>
      </c>
    </row>
    <row r="496" spans="1:5" x14ac:dyDescent="0.25">
      <c r="A496" t="s">
        <v>499</v>
      </c>
      <c r="B496" t="s">
        <v>506</v>
      </c>
      <c r="C496">
        <v>184</v>
      </c>
      <c r="D496">
        <v>34</v>
      </c>
      <c r="E496">
        <v>81.569999999999993</v>
      </c>
    </row>
    <row r="497" spans="1:5" x14ac:dyDescent="0.25">
      <c r="A497" t="s">
        <v>500</v>
      </c>
      <c r="B497" t="s">
        <v>506</v>
      </c>
      <c r="C497">
        <v>479</v>
      </c>
      <c r="D497">
        <v>36</v>
      </c>
      <c r="E497">
        <v>90.22</v>
      </c>
    </row>
    <row r="498" spans="1:5" x14ac:dyDescent="0.25">
      <c r="A498" t="s">
        <v>501</v>
      </c>
      <c r="B498" t="s">
        <v>508</v>
      </c>
      <c r="C498">
        <v>186</v>
      </c>
      <c r="D498">
        <v>27</v>
      </c>
      <c r="E498">
        <v>146.94999999999999</v>
      </c>
    </row>
    <row r="499" spans="1:5" x14ac:dyDescent="0.25">
      <c r="A499" t="s">
        <v>502</v>
      </c>
      <c r="B499" t="s">
        <v>509</v>
      </c>
      <c r="C499">
        <v>240</v>
      </c>
      <c r="D499">
        <v>27</v>
      </c>
      <c r="E499">
        <v>153.49</v>
      </c>
    </row>
    <row r="500" spans="1:5" x14ac:dyDescent="0.25">
      <c r="A500" t="s">
        <v>503</v>
      </c>
      <c r="B500" t="s">
        <v>511</v>
      </c>
      <c r="C500">
        <v>307</v>
      </c>
      <c r="D500">
        <v>29</v>
      </c>
      <c r="E500">
        <v>116.3</v>
      </c>
    </row>
    <row r="501" spans="1:5" x14ac:dyDescent="0.25">
      <c r="A501" t="s">
        <v>504</v>
      </c>
      <c r="B501" t="s">
        <v>510</v>
      </c>
      <c r="C501">
        <v>386</v>
      </c>
      <c r="D501">
        <v>92</v>
      </c>
      <c r="E501">
        <v>43.5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23691A0578</dc:creator>
  <cp:lastModifiedBy>23691A0578</cp:lastModifiedBy>
  <dcterms:created xsi:type="dcterms:W3CDTF">2025-06-21T13:19:13Z</dcterms:created>
  <dcterms:modified xsi:type="dcterms:W3CDTF">2026-06-02T06:07:32Z</dcterms:modified>
</cp:coreProperties>
</file>