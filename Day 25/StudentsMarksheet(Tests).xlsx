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tudent\Downloads\Day 25\"/>
    </mc:Choice>
  </mc:AlternateContent>
  <bookViews>
    <workbookView xWindow="0" yWindow="0" windowWidth="21570" windowHeight="7770" activeTab="2"/>
  </bookViews>
  <sheets>
    <sheet name="Sheet1" sheetId="3" r:id="rId1"/>
    <sheet name="Sheet2" sheetId="4" r:id="rId2"/>
    <sheet name="Student Marks" sheetId="2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2" i="2"/>
  <c r="F101" i="2" l="1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32" i="2"/>
  <c r="B32" i="2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B33" i="2" l="1"/>
  <c r="G32" i="2"/>
  <c r="J6" i="2"/>
  <c r="J5" i="2"/>
  <c r="H84" i="2"/>
  <c r="H60" i="2"/>
  <c r="Q9" i="2"/>
  <c r="Q5" i="2"/>
  <c r="H85" i="2"/>
  <c r="H70" i="2"/>
  <c r="H83" i="2"/>
  <c r="H37" i="2"/>
  <c r="H97" i="2"/>
  <c r="H73" i="2"/>
  <c r="H68" i="2"/>
  <c r="H92" i="2"/>
  <c r="H96" i="2"/>
  <c r="H72" i="2"/>
  <c r="H66" i="2"/>
  <c r="H71" i="2"/>
  <c r="H49" i="2"/>
  <c r="H48" i="2"/>
  <c r="H32" i="2"/>
  <c r="H55" i="2"/>
  <c r="H54" i="2"/>
  <c r="H69" i="2"/>
  <c r="H95" i="2"/>
  <c r="H86" i="2"/>
  <c r="H62" i="2"/>
  <c r="H61" i="2"/>
  <c r="H38" i="2"/>
  <c r="H94" i="2"/>
  <c r="H93" i="2"/>
  <c r="H91" i="2"/>
  <c r="H90" i="2"/>
  <c r="H78" i="2"/>
  <c r="H42" i="2"/>
  <c r="H53" i="2"/>
  <c r="H101" i="2"/>
  <c r="H40" i="2"/>
  <c r="H39" i="2"/>
  <c r="H80" i="2"/>
  <c r="H79" i="2"/>
  <c r="H67" i="2"/>
  <c r="H47" i="2"/>
  <c r="H46" i="2"/>
  <c r="H45" i="2"/>
  <c r="H87" i="2"/>
  <c r="H63" i="2"/>
  <c r="H52" i="2"/>
  <c r="H76" i="2"/>
  <c r="H100" i="2"/>
  <c r="H41" i="2"/>
  <c r="H77" i="2"/>
  <c r="H56" i="2"/>
  <c r="H35" i="2"/>
  <c r="H34" i="2"/>
  <c r="H57" i="2"/>
  <c r="H82" i="2"/>
  <c r="H36" i="2"/>
  <c r="H81" i="2"/>
  <c r="H59" i="2"/>
  <c r="H58" i="2"/>
  <c r="H33" i="2"/>
  <c r="H65" i="2"/>
  <c r="H50" i="2"/>
  <c r="H74" i="2"/>
  <c r="H98" i="2"/>
  <c r="H44" i="2"/>
  <c r="H89" i="2"/>
  <c r="H43" i="2"/>
  <c r="H88" i="2"/>
  <c r="H64" i="2"/>
  <c r="H51" i="2"/>
  <c r="H75" i="2"/>
  <c r="H99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2" i="2"/>
  <c r="B34" i="2" l="1"/>
  <c r="G33" i="2"/>
  <c r="J8" i="2"/>
  <c r="B35" i="2" l="1"/>
  <c r="G34" i="2"/>
  <c r="B36" i="2" l="1"/>
  <c r="G35" i="2"/>
  <c r="B37" i="2" l="1"/>
  <c r="G36" i="2"/>
  <c r="B38" i="2" l="1"/>
  <c r="G37" i="2"/>
  <c r="B39" i="2" l="1"/>
  <c r="G38" i="2"/>
  <c r="B40" i="2" l="1"/>
  <c r="G39" i="2"/>
  <c r="B41" i="2" l="1"/>
  <c r="G40" i="2"/>
  <c r="B42" i="2" l="1"/>
  <c r="G41" i="2"/>
  <c r="B43" i="2" l="1"/>
  <c r="G42" i="2"/>
  <c r="B44" i="2" l="1"/>
  <c r="G43" i="2"/>
  <c r="B45" i="2" l="1"/>
  <c r="G44" i="2"/>
  <c r="B46" i="2" l="1"/>
  <c r="G45" i="2"/>
  <c r="B47" i="2" l="1"/>
  <c r="G46" i="2"/>
  <c r="B48" i="2" l="1"/>
  <c r="G47" i="2"/>
  <c r="B49" i="2" l="1"/>
  <c r="G48" i="2"/>
  <c r="B50" i="2" l="1"/>
  <c r="G49" i="2"/>
  <c r="B51" i="2" l="1"/>
  <c r="G50" i="2"/>
  <c r="B52" i="2" l="1"/>
  <c r="G51" i="2"/>
  <c r="B53" i="2" l="1"/>
  <c r="G52" i="2"/>
  <c r="B54" i="2" l="1"/>
  <c r="G53" i="2"/>
  <c r="B55" i="2" l="1"/>
  <c r="G54" i="2"/>
  <c r="B56" i="2" l="1"/>
  <c r="G55" i="2"/>
  <c r="B57" i="2" l="1"/>
  <c r="G56" i="2"/>
  <c r="B58" i="2" l="1"/>
  <c r="G57" i="2"/>
  <c r="B59" i="2" l="1"/>
  <c r="G58" i="2"/>
  <c r="B60" i="2" l="1"/>
  <c r="G59" i="2"/>
  <c r="B61" i="2" l="1"/>
  <c r="G60" i="2"/>
  <c r="B62" i="2" l="1"/>
  <c r="G61" i="2"/>
  <c r="B63" i="2" l="1"/>
  <c r="G62" i="2"/>
  <c r="B64" i="2" l="1"/>
  <c r="G63" i="2"/>
  <c r="B65" i="2" l="1"/>
  <c r="G64" i="2"/>
  <c r="B66" i="2" l="1"/>
  <c r="G65" i="2"/>
  <c r="B67" i="2" l="1"/>
  <c r="G66" i="2"/>
  <c r="B68" i="2" l="1"/>
  <c r="G67" i="2"/>
  <c r="B69" i="2" l="1"/>
  <c r="G68" i="2"/>
  <c r="B70" i="2" l="1"/>
  <c r="G69" i="2"/>
  <c r="B71" i="2" l="1"/>
  <c r="G70" i="2"/>
  <c r="B72" i="2" l="1"/>
  <c r="G71" i="2"/>
  <c r="B73" i="2" l="1"/>
  <c r="G72" i="2"/>
  <c r="B74" i="2" l="1"/>
  <c r="G73" i="2"/>
  <c r="B75" i="2" l="1"/>
  <c r="G74" i="2"/>
  <c r="B76" i="2" l="1"/>
  <c r="G75" i="2"/>
  <c r="B77" i="2" l="1"/>
  <c r="G76" i="2"/>
  <c r="B78" i="2" l="1"/>
  <c r="G77" i="2"/>
  <c r="B79" i="2" l="1"/>
  <c r="G78" i="2"/>
  <c r="B80" i="2" l="1"/>
  <c r="G79" i="2"/>
  <c r="B81" i="2" l="1"/>
  <c r="G80" i="2"/>
  <c r="B82" i="2" l="1"/>
  <c r="G81" i="2"/>
  <c r="B83" i="2" l="1"/>
  <c r="G82" i="2"/>
  <c r="B84" i="2" l="1"/>
  <c r="G83" i="2"/>
  <c r="B85" i="2" l="1"/>
  <c r="G84" i="2"/>
  <c r="B86" i="2" l="1"/>
  <c r="G85" i="2"/>
  <c r="B87" i="2" l="1"/>
  <c r="G86" i="2"/>
  <c r="B88" i="2" l="1"/>
  <c r="G87" i="2"/>
  <c r="B89" i="2" l="1"/>
  <c r="G88" i="2"/>
  <c r="B90" i="2" l="1"/>
  <c r="G89" i="2"/>
  <c r="B91" i="2" l="1"/>
  <c r="G90" i="2"/>
  <c r="B92" i="2" l="1"/>
  <c r="G91" i="2"/>
  <c r="B93" i="2" l="1"/>
  <c r="G92" i="2"/>
  <c r="B94" i="2" l="1"/>
  <c r="G93" i="2"/>
  <c r="B95" i="2" l="1"/>
  <c r="G94" i="2"/>
  <c r="B96" i="2" l="1"/>
  <c r="G95" i="2"/>
  <c r="B97" i="2" l="1"/>
  <c r="G96" i="2"/>
  <c r="B98" i="2" l="1"/>
  <c r="G97" i="2"/>
  <c r="B99" i="2" l="1"/>
  <c r="G98" i="2"/>
  <c r="B100" i="2" l="1"/>
  <c r="G99" i="2"/>
  <c r="B101" i="2" l="1"/>
  <c r="G101" i="2" s="1"/>
  <c r="G100" i="2"/>
</calcChain>
</file>

<file path=xl/sharedStrings.xml><?xml version="1.0" encoding="utf-8"?>
<sst xmlns="http://schemas.openxmlformats.org/spreadsheetml/2006/main" count="297" uniqueCount="196">
  <si>
    <t>ID</t>
  </si>
  <si>
    <t>Name</t>
  </si>
  <si>
    <t>Marks in Math (Out of 100)</t>
  </si>
  <si>
    <t>Marks in Physics (Out of 100)</t>
  </si>
  <si>
    <t>Marks in Chemistry (Out of 100)</t>
  </si>
  <si>
    <t>Percentage</t>
  </si>
  <si>
    <t>John Doe</t>
  </si>
  <si>
    <t>Jane Smith</t>
  </si>
  <si>
    <t>Michael Johnson</t>
  </si>
  <si>
    <t>Emily Brown</t>
  </si>
  <si>
    <t>Daniel Martinez</t>
  </si>
  <si>
    <t>Sarah Wilson</t>
  </si>
  <si>
    <t>David Garcia</t>
  </si>
  <si>
    <t>Jessica Lee</t>
  </si>
  <si>
    <t>Matthew Davis</t>
  </si>
  <si>
    <t>Jennifer Rodriguez</t>
  </si>
  <si>
    <t>Andrew Taylor</t>
  </si>
  <si>
    <t>Amanda Hernandez</t>
  </si>
  <si>
    <t>Christopher Clark</t>
  </si>
  <si>
    <t>Elizabeth Martinez</t>
  </si>
  <si>
    <t>William Anderson</t>
  </si>
  <si>
    <t>Sophia Thomas</t>
  </si>
  <si>
    <t>James White</t>
  </si>
  <si>
    <t>Olivia Taylor</t>
  </si>
  <si>
    <t>Benjamin Wilson</t>
  </si>
  <si>
    <t>Emma Garcia</t>
  </si>
  <si>
    <t>Alexander Davis</t>
  </si>
  <si>
    <t>Mia Moore</t>
  </si>
  <si>
    <t>Ethan Jackson</t>
  </si>
  <si>
    <t>Isabella Brown</t>
  </si>
  <si>
    <t>Noah Taylor</t>
  </si>
  <si>
    <t>Abigail Johnson</t>
  </si>
  <si>
    <t>Logan Martinez</t>
  </si>
  <si>
    <t>Avery Clark</t>
  </si>
  <si>
    <t>Jacob Thompson</t>
  </si>
  <si>
    <t>Samantha Harris</t>
  </si>
  <si>
    <t>Index</t>
  </si>
  <si>
    <t>z-Test: Two Sample for Means</t>
  </si>
  <si>
    <t>Mean</t>
  </si>
  <si>
    <t>Known Variance</t>
  </si>
  <si>
    <t>Observations</t>
  </si>
  <si>
    <t>Hypothesized Mean Difference</t>
  </si>
  <si>
    <t>z</t>
  </si>
  <si>
    <t>P(Z&lt;=z) one-tail</t>
  </si>
  <si>
    <t>z Critical one-tail</t>
  </si>
  <si>
    <t>P(Z&lt;=z) two-tail</t>
  </si>
  <si>
    <t>z Critical two-tail</t>
  </si>
  <si>
    <t>F-Test Two-Sample for Variances</t>
  </si>
  <si>
    <t>Variance</t>
  </si>
  <si>
    <t>df</t>
  </si>
  <si>
    <t>F</t>
  </si>
  <si>
    <t>P(F&lt;=f) one-tail</t>
  </si>
  <si>
    <t>F Critical one-tail</t>
  </si>
  <si>
    <t>t-Test: Paired Two Sample for Means</t>
  </si>
  <si>
    <t>Pearson Correlation</t>
  </si>
  <si>
    <t>t Stat</t>
  </si>
  <si>
    <t>P(T&lt;=t) one-tail</t>
  </si>
  <si>
    <t>t Critical one-tail</t>
  </si>
  <si>
    <t>P(T&lt;=t) two-tail</t>
  </si>
  <si>
    <t>t Critical two-tail</t>
  </si>
  <si>
    <t>t-Test: Two-Sample Assuming Equal Variances</t>
  </si>
  <si>
    <t>Pooled Variance</t>
  </si>
  <si>
    <t>Gender</t>
  </si>
  <si>
    <t>Anova: Two-Factor Without Replication</t>
  </si>
  <si>
    <t>SUMMARY</t>
  </si>
  <si>
    <t>Count</t>
  </si>
  <si>
    <t>Sum</t>
  </si>
  <si>
    <t>Average</t>
  </si>
  <si>
    <t>Row 1</t>
  </si>
  <si>
    <t>Row 2</t>
  </si>
  <si>
    <t>Row 3</t>
  </si>
  <si>
    <t>Row 4</t>
  </si>
  <si>
    <t>Row 5</t>
  </si>
  <si>
    <t>Row 6</t>
  </si>
  <si>
    <t>Row 7</t>
  </si>
  <si>
    <t>Row 8</t>
  </si>
  <si>
    <t>Row 9</t>
  </si>
  <si>
    <t>Row 10</t>
  </si>
  <si>
    <t>Row 11</t>
  </si>
  <si>
    <t>Row 12</t>
  </si>
  <si>
    <t>Row 13</t>
  </si>
  <si>
    <t>Row 14</t>
  </si>
  <si>
    <t>Row 15</t>
  </si>
  <si>
    <t>Row 16</t>
  </si>
  <si>
    <t>Row 17</t>
  </si>
  <si>
    <t>Row 18</t>
  </si>
  <si>
    <t>Row 19</t>
  </si>
  <si>
    <t>Row 20</t>
  </si>
  <si>
    <t>Row 21</t>
  </si>
  <si>
    <t>Row 22</t>
  </si>
  <si>
    <t>Row 23</t>
  </si>
  <si>
    <t>Row 24</t>
  </si>
  <si>
    <t>Row 25</t>
  </si>
  <si>
    <t>Row 26</t>
  </si>
  <si>
    <t>Row 27</t>
  </si>
  <si>
    <t>Row 28</t>
  </si>
  <si>
    <t>Row 29</t>
  </si>
  <si>
    <t>Row 30</t>
  </si>
  <si>
    <t>Row 31</t>
  </si>
  <si>
    <t>Row 32</t>
  </si>
  <si>
    <t>Row 33</t>
  </si>
  <si>
    <t>Row 34</t>
  </si>
  <si>
    <t>Row 35</t>
  </si>
  <si>
    <t>Row 36</t>
  </si>
  <si>
    <t>Row 37</t>
  </si>
  <si>
    <t>Row 38</t>
  </si>
  <si>
    <t>Row 39</t>
  </si>
  <si>
    <t>Row 40</t>
  </si>
  <si>
    <t>Row 41</t>
  </si>
  <si>
    <t>Row 42</t>
  </si>
  <si>
    <t>Row 43</t>
  </si>
  <si>
    <t>Row 44</t>
  </si>
  <si>
    <t>Row 45</t>
  </si>
  <si>
    <t>Row 46</t>
  </si>
  <si>
    <t>Row 47</t>
  </si>
  <si>
    <t>Row 48</t>
  </si>
  <si>
    <t>Row 49</t>
  </si>
  <si>
    <t>Row 50</t>
  </si>
  <si>
    <t>Row 51</t>
  </si>
  <si>
    <t>Row 52</t>
  </si>
  <si>
    <t>Row 53</t>
  </si>
  <si>
    <t>Row 54</t>
  </si>
  <si>
    <t>Row 55</t>
  </si>
  <si>
    <t>Row 56</t>
  </si>
  <si>
    <t>Row 57</t>
  </si>
  <si>
    <t>Row 58</t>
  </si>
  <si>
    <t>Row 59</t>
  </si>
  <si>
    <t>Row 60</t>
  </si>
  <si>
    <t>Row 61</t>
  </si>
  <si>
    <t>Row 62</t>
  </si>
  <si>
    <t>Row 63</t>
  </si>
  <si>
    <t>Row 64</t>
  </si>
  <si>
    <t>Row 65</t>
  </si>
  <si>
    <t>Row 66</t>
  </si>
  <si>
    <t>Row 67</t>
  </si>
  <si>
    <t>Row 68</t>
  </si>
  <si>
    <t>Row 69</t>
  </si>
  <si>
    <t>Row 70</t>
  </si>
  <si>
    <t>Row 71</t>
  </si>
  <si>
    <t>Row 72</t>
  </si>
  <si>
    <t>Row 73</t>
  </si>
  <si>
    <t>Row 74</t>
  </si>
  <si>
    <t>Row 75</t>
  </si>
  <si>
    <t>Row 76</t>
  </si>
  <si>
    <t>Row 77</t>
  </si>
  <si>
    <t>Row 78</t>
  </si>
  <si>
    <t>Row 79</t>
  </si>
  <si>
    <t>Row 80</t>
  </si>
  <si>
    <t>Row 81</t>
  </si>
  <si>
    <t>Row 82</t>
  </si>
  <si>
    <t>Row 83</t>
  </si>
  <si>
    <t>Row 84</t>
  </si>
  <si>
    <t>Row 85</t>
  </si>
  <si>
    <t>Row 86</t>
  </si>
  <si>
    <t>Row 87</t>
  </si>
  <si>
    <t>Row 88</t>
  </si>
  <si>
    <t>Row 89</t>
  </si>
  <si>
    <t>Row 90</t>
  </si>
  <si>
    <t>Row 91</t>
  </si>
  <si>
    <t>Row 92</t>
  </si>
  <si>
    <t>Row 93</t>
  </si>
  <si>
    <t>Row 94</t>
  </si>
  <si>
    <t>Row 95</t>
  </si>
  <si>
    <t>Row 96</t>
  </si>
  <si>
    <t>Row 97</t>
  </si>
  <si>
    <t>Row 98</t>
  </si>
  <si>
    <t>Row 99</t>
  </si>
  <si>
    <t>Row 100</t>
  </si>
  <si>
    <t>Column 1</t>
  </si>
  <si>
    <t>Column 2</t>
  </si>
  <si>
    <t>ANOVA</t>
  </si>
  <si>
    <t>Source of Variation</t>
  </si>
  <si>
    <t>SS</t>
  </si>
  <si>
    <t>MS</t>
  </si>
  <si>
    <t>P-value</t>
  </si>
  <si>
    <t>F crit</t>
  </si>
  <si>
    <t>Rows</t>
  </si>
  <si>
    <t>Columns</t>
  </si>
  <si>
    <t>Error</t>
  </si>
  <si>
    <t>Total</t>
  </si>
  <si>
    <t>SUMMARY OUTPUT</t>
  </si>
  <si>
    <t>Regression Statistics</t>
  </si>
  <si>
    <t>Multiple R</t>
  </si>
  <si>
    <t>R Square</t>
  </si>
  <si>
    <t>Adjusted R Square</t>
  </si>
  <si>
    <t>Standard Error</t>
  </si>
  <si>
    <t>Regression</t>
  </si>
  <si>
    <t>Residual</t>
  </si>
  <si>
    <t>Intercept</t>
  </si>
  <si>
    <t>Significance F</t>
  </si>
  <si>
    <t>Coefficients</t>
  </si>
  <si>
    <t>Lower 95%</t>
  </si>
  <si>
    <t>Upper 95%</t>
  </si>
  <si>
    <t>Lower 95.0%</t>
  </si>
  <si>
    <t>Upper 95.0%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</si>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</sst>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2"/>
      <color rgb="FFFFFFFF"/>
      <name val="Calibri"/>
      <family val="2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9" fontId="3" fillId="0" borderId="1" xfId="1" applyFont="1" applyBorder="1" applyAlignment="1">
      <alignment vertical="center"/>
    </xf>
    <xf numFmtId="9" fontId="2" fillId="0" borderId="0" xfId="0" applyNumberFormat="1" applyFont="1"/>
    <xf numFmtId="0" fontId="0" fillId="0" borderId="2" xfId="0" applyFill="1" applyBorder="1" applyAlignment="1"/>
    <xf numFmtId="0" fontId="5" fillId="0" borderId="3" xfId="0" applyFont="1" applyFill="1" applyBorder="1" applyAlignment="1">
      <alignment horizontal="center"/>
    </xf>
    <xf numFmtId="0" fontId="2" fillId="0" borderId="4" xfId="0" applyFont="1" applyBorder="1"/>
    <xf numFmtId="0" fontId="0" fillId="0" borderId="4" xfId="0" applyBorder="1"/>
    <xf numFmtId="0" fontId="5" fillId="0" borderId="4" xfId="0" applyFont="1" applyFill="1" applyBorder="1" applyAlignment="1">
      <alignment horizontal="center"/>
    </xf>
    <xf numFmtId="0" fontId="0" fillId="0" borderId="4" xfId="0" applyFill="1" applyBorder="1" applyAlignment="1"/>
    <xf numFmtId="0" fontId="0" fillId="0" borderId="0" xfId="0" applyFill="1" applyBorder="1" applyAlignment="1"/>
    <xf numFmtId="0" fontId="5" fillId="0" borderId="3" xfId="0" applyFont="1" applyFill="1" applyBorder="1" applyAlignment="1">
      <alignment horizontal="centerContinuous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" sqref="E1:F2"/>
    </sheetView>
  </sheetViews>
  <sheetFormatPr defaultRowHeight="14.25"/>
  <cols>
    <col min="1" max="1" width="26.375" bestFit="1" customWidth="1"/>
  </cols>
  <sheetData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B2"/>
    </sheetView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30"/>
  <sheetViews>
    <sheetView showGridLines="0" tabSelected="1" topLeftCell="I1" workbookViewId="0">
      <selection activeCell="U1" sqref="U1:AC21"/>
    </sheetView>
  </sheetViews>
  <sheetFormatPr defaultColWidth="8.875" defaultRowHeight="15"/>
  <cols>
    <col min="1" max="1" width="5.25" style="1" bestFit="1" customWidth="1"/>
    <col min="2" max="2" width="12.375" style="1" customWidth="1"/>
    <col min="3" max="3" width="18.5" style="1" bestFit="1" customWidth="1"/>
    <col min="4" max="4" width="17.625" style="1" customWidth="1"/>
    <col min="5" max="5" width="18.375" style="1" customWidth="1"/>
    <col min="6" max="6" width="21.875" style="1" customWidth="1"/>
    <col min="7" max="7" width="8.875" style="1"/>
    <col min="8" max="8" width="14.375" style="1" customWidth="1"/>
    <col min="10" max="11" width="8.875" style="1"/>
    <col min="12" max="12" width="26.375" style="1" bestFit="1" customWidth="1"/>
    <col min="13" max="15" width="8.875" style="1"/>
    <col min="16" max="16" width="33.125" style="1" bestFit="1" customWidth="1"/>
    <col min="17" max="16384" width="8.875" style="1"/>
  </cols>
  <sheetData>
    <row r="1" spans="1:29" ht="35.25" customHeight="1">
      <c r="A1" s="1" t="s">
        <v>36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1" t="s">
        <v>62</v>
      </c>
      <c r="H1" s="2" t="s">
        <v>5</v>
      </c>
      <c r="U1" t="s">
        <v>180</v>
      </c>
      <c r="V1"/>
      <c r="W1"/>
      <c r="X1"/>
      <c r="Y1"/>
      <c r="Z1"/>
      <c r="AA1"/>
      <c r="AB1"/>
      <c r="AC1"/>
    </row>
    <row r="2" spans="1:29" ht="15.75" thickBot="1">
      <c r="A2" s="1">
        <v>1</v>
      </c>
      <c r="B2" s="3">
        <v>120001</v>
      </c>
      <c r="C2" s="3" t="s">
        <v>6</v>
      </c>
      <c r="D2" s="3">
        <v>85</v>
      </c>
      <c r="E2" s="3">
        <v>78</v>
      </c>
      <c r="F2" s="3">
        <v>90</v>
      </c>
      <c r="G2" s="1" t="str">
        <f t="shared" ref="G2:G33" si="0">IF(MOD(B2,2)=0,"Male","Female")</f>
        <v>Female</v>
      </c>
      <c r="H2" s="4">
        <f>SUM(D2:F2)/300</f>
        <v>0.84333333333333338</v>
      </c>
      <c r="U2"/>
      <c r="V2"/>
      <c r="W2"/>
      <c r="X2"/>
      <c r="Y2"/>
      <c r="Z2"/>
      <c r="AA2"/>
      <c r="AB2"/>
      <c r="AC2"/>
    </row>
    <row r="3" spans="1:29" ht="15.75" thickBot="1">
      <c r="A3" s="1">
        <v>2</v>
      </c>
      <c r="B3" s="3">
        <v>120005</v>
      </c>
      <c r="C3" s="3" t="s">
        <v>7</v>
      </c>
      <c r="D3" s="3">
        <v>92</v>
      </c>
      <c r="E3" s="3">
        <v>88</v>
      </c>
      <c r="F3" s="3">
        <v>94</v>
      </c>
      <c r="G3" s="1" t="str">
        <f t="shared" si="0"/>
        <v>Female</v>
      </c>
      <c r="H3" s="4">
        <f t="shared" ref="H3:H31" si="1">SUM(D3:F3)/300</f>
        <v>0.91333333333333333</v>
      </c>
      <c r="U3" s="13" t="s">
        <v>181</v>
      </c>
      <c r="V3" s="13"/>
      <c r="W3"/>
      <c r="X3"/>
      <c r="Y3"/>
      <c r="Z3"/>
      <c r="AA3"/>
      <c r="AB3"/>
      <c r="AC3"/>
    </row>
    <row r="4" spans="1:29">
      <c r="A4" s="1">
        <v>3</v>
      </c>
      <c r="B4" s="3">
        <v>120017</v>
      </c>
      <c r="C4" s="3" t="s">
        <v>8</v>
      </c>
      <c r="D4" s="3">
        <v>78</v>
      </c>
      <c r="E4" s="3">
        <v>82</v>
      </c>
      <c r="F4" s="3">
        <v>80</v>
      </c>
      <c r="G4" s="1" t="str">
        <f t="shared" si="0"/>
        <v>Female</v>
      </c>
      <c r="H4" s="4">
        <f t="shared" si="1"/>
        <v>0.8</v>
      </c>
      <c r="L4" s="8"/>
      <c r="M4" s="8"/>
      <c r="N4" s="8"/>
      <c r="P4" s="7"/>
      <c r="Q4" s="7">
        <v>78</v>
      </c>
      <c r="U4" s="12" t="s">
        <v>182</v>
      </c>
      <c r="V4" s="12">
        <v>0.11293081959543583</v>
      </c>
      <c r="W4"/>
      <c r="X4"/>
      <c r="Y4"/>
      <c r="Z4"/>
      <c r="AA4"/>
      <c r="AB4"/>
      <c r="AC4"/>
    </row>
    <row r="5" spans="1:29" ht="15.75" thickBot="1">
      <c r="A5" s="1">
        <f>A4+1</f>
        <v>4</v>
      </c>
      <c r="B5" s="3">
        <v>120018</v>
      </c>
      <c r="C5" s="3" t="s">
        <v>9</v>
      </c>
      <c r="D5" s="3">
        <v>90</v>
      </c>
      <c r="E5" s="3">
        <v>85</v>
      </c>
      <c r="F5" s="3">
        <v>88</v>
      </c>
      <c r="G5" s="1" t="str">
        <f t="shared" si="0"/>
        <v>Male</v>
      </c>
      <c r="H5" s="4">
        <f t="shared" si="1"/>
        <v>0.87666666666666671</v>
      </c>
      <c r="J5" s="1">
        <f ca="1">AVERAGE(D:D)</f>
        <v>86.95</v>
      </c>
      <c r="L5" s="9" t="s">
        <v>37</v>
      </c>
      <c r="M5" s="9"/>
      <c r="N5" s="9"/>
      <c r="P5" s="6">
        <v>78</v>
      </c>
      <c r="Q5" s="6">
        <f ca="1">VARP('Student Marks'!$E$3:$E$101)</f>
        <v>38.848076726864626</v>
      </c>
      <c r="U5" s="12" t="s">
        <v>183</v>
      </c>
      <c r="V5" s="12">
        <v>1.2753370014496872E-2</v>
      </c>
      <c r="W5"/>
      <c r="X5"/>
      <c r="Y5"/>
      <c r="Z5"/>
      <c r="AA5"/>
      <c r="AB5"/>
      <c r="AC5"/>
    </row>
    <row r="6" spans="1:29">
      <c r="A6" s="1">
        <f t="shared" ref="A6:A69" si="2">A5+1</f>
        <v>5</v>
      </c>
      <c r="B6" s="3">
        <v>120022</v>
      </c>
      <c r="C6" s="3" t="s">
        <v>10</v>
      </c>
      <c r="D6" s="3">
        <v>75</v>
      </c>
      <c r="E6" s="3">
        <v>80</v>
      </c>
      <c r="F6" s="3">
        <v>77</v>
      </c>
      <c r="G6" s="1" t="str">
        <f t="shared" si="0"/>
        <v>Male</v>
      </c>
      <c r="H6" s="4">
        <f t="shared" si="1"/>
        <v>0.77333333333333332</v>
      </c>
      <c r="J6" s="1">
        <f ca="1">AVERAGE(E:E)</f>
        <v>86.89</v>
      </c>
      <c r="L6" s="9"/>
      <c r="M6" s="9"/>
      <c r="N6" s="9"/>
      <c r="U6" s="12" t="s">
        <v>184</v>
      </c>
      <c r="V6" s="12">
        <v>2.6794248105631671E-3</v>
      </c>
      <c r="W6"/>
      <c r="X6"/>
      <c r="Y6"/>
      <c r="Z6"/>
      <c r="AA6"/>
      <c r="AB6"/>
      <c r="AC6"/>
    </row>
    <row r="7" spans="1:29" ht="15.75" thickBot="1">
      <c r="A7" s="1">
        <f t="shared" si="2"/>
        <v>6</v>
      </c>
      <c r="B7" s="3">
        <v>120024</v>
      </c>
      <c r="C7" s="3" t="s">
        <v>11</v>
      </c>
      <c r="D7" s="3">
        <v>88</v>
      </c>
      <c r="E7" s="3">
        <v>92</v>
      </c>
      <c r="F7" s="3">
        <v>86</v>
      </c>
      <c r="G7" s="1" t="str">
        <f t="shared" si="0"/>
        <v>Male</v>
      </c>
      <c r="H7" s="4">
        <f t="shared" si="1"/>
        <v>0.88666666666666671</v>
      </c>
      <c r="L7" s="10"/>
      <c r="M7" s="10">
        <v>85</v>
      </c>
      <c r="N7" s="10">
        <v>78</v>
      </c>
      <c r="U7" s="12" t="s">
        <v>185</v>
      </c>
      <c r="V7" s="12">
        <v>6.9352831316128345</v>
      </c>
      <c r="W7"/>
      <c r="X7"/>
      <c r="Y7"/>
      <c r="Z7"/>
      <c r="AA7"/>
      <c r="AB7"/>
      <c r="AC7"/>
    </row>
    <row r="8" spans="1:29" ht="15.75" thickBot="1">
      <c r="A8" s="1">
        <f t="shared" si="2"/>
        <v>7</v>
      </c>
      <c r="B8" s="3">
        <v>120025</v>
      </c>
      <c r="C8" s="3" t="s">
        <v>12</v>
      </c>
      <c r="D8" s="3">
        <v>82</v>
      </c>
      <c r="E8" s="3">
        <v>79</v>
      </c>
      <c r="F8" s="3">
        <v>84</v>
      </c>
      <c r="G8" s="1" t="str">
        <f t="shared" si="0"/>
        <v>Female</v>
      </c>
      <c r="H8" s="4">
        <f t="shared" si="1"/>
        <v>0.81666666666666665</v>
      </c>
      <c r="J8" s="1">
        <f ca="1">J6-J5</f>
        <v>-6.0000000000002274E-2</v>
      </c>
      <c r="L8" s="11" t="s">
        <v>38</v>
      </c>
      <c r="M8" s="11">
        <v>84.595959595959599</v>
      </c>
      <c r="N8" s="11">
        <v>87.202020202020208</v>
      </c>
      <c r="P8" s="7"/>
      <c r="Q8" s="7">
        <v>85</v>
      </c>
      <c r="U8" s="6" t="s">
        <v>40</v>
      </c>
      <c r="V8" s="6">
        <v>100</v>
      </c>
      <c r="W8"/>
      <c r="X8"/>
      <c r="Y8"/>
      <c r="Z8"/>
      <c r="AA8"/>
      <c r="AB8"/>
      <c r="AC8"/>
    </row>
    <row r="9" spans="1:29" ht="15.75" thickBot="1">
      <c r="A9" s="1">
        <f t="shared" si="2"/>
        <v>8</v>
      </c>
      <c r="B9" s="3">
        <v>120027</v>
      </c>
      <c r="C9" s="3" t="s">
        <v>13</v>
      </c>
      <c r="D9" s="3">
        <v>95</v>
      </c>
      <c r="E9" s="3">
        <v>91</v>
      </c>
      <c r="F9" s="3">
        <v>96</v>
      </c>
      <c r="G9" s="1" t="str">
        <f t="shared" si="0"/>
        <v>Female</v>
      </c>
      <c r="H9" s="4">
        <f t="shared" si="1"/>
        <v>0.94</v>
      </c>
      <c r="L9" s="11" t="s">
        <v>39</v>
      </c>
      <c r="M9" s="11">
        <v>0.5</v>
      </c>
      <c r="N9" s="11">
        <v>0.5</v>
      </c>
      <c r="P9" s="6">
        <v>85</v>
      </c>
      <c r="Q9" s="6">
        <f ca="1">VARP('Student Marks'!$D$3:$D$101)</f>
        <v>69.201101928374669</v>
      </c>
      <c r="U9"/>
      <c r="V9"/>
      <c r="W9"/>
      <c r="X9"/>
      <c r="Y9"/>
      <c r="Z9"/>
      <c r="AA9"/>
      <c r="AB9"/>
      <c r="AC9"/>
    </row>
    <row r="10" spans="1:29" ht="15.75" thickBot="1">
      <c r="A10" s="1">
        <f t="shared" si="2"/>
        <v>9</v>
      </c>
      <c r="B10" s="3">
        <v>120034</v>
      </c>
      <c r="C10" s="3" t="s">
        <v>14</v>
      </c>
      <c r="D10" s="3">
        <v>79</v>
      </c>
      <c r="E10" s="3">
        <v>84</v>
      </c>
      <c r="F10" s="3">
        <v>78</v>
      </c>
      <c r="G10" s="1" t="str">
        <f t="shared" si="0"/>
        <v>Male</v>
      </c>
      <c r="H10" s="4">
        <f t="shared" si="1"/>
        <v>0.80333333333333334</v>
      </c>
      <c r="L10" s="11" t="s">
        <v>40</v>
      </c>
      <c r="M10" s="11">
        <v>99</v>
      </c>
      <c r="N10" s="11">
        <v>99</v>
      </c>
      <c r="U10" t="s">
        <v>170</v>
      </c>
      <c r="V10"/>
      <c r="W10"/>
      <c r="X10"/>
      <c r="Y10"/>
      <c r="Z10"/>
      <c r="AA10"/>
      <c r="AB10"/>
      <c r="AC10"/>
    </row>
    <row r="11" spans="1:29">
      <c r="A11" s="1">
        <f t="shared" si="2"/>
        <v>10</v>
      </c>
      <c r="B11" s="3">
        <v>120035</v>
      </c>
      <c r="C11" s="3" t="s">
        <v>15</v>
      </c>
      <c r="D11" s="3">
        <v>87</v>
      </c>
      <c r="E11" s="3">
        <v>90</v>
      </c>
      <c r="F11" s="3">
        <v>85</v>
      </c>
      <c r="G11" s="1" t="str">
        <f t="shared" si="0"/>
        <v>Female</v>
      </c>
      <c r="H11" s="4">
        <f t="shared" si="1"/>
        <v>0.87333333333333329</v>
      </c>
      <c r="L11" s="11" t="s">
        <v>41</v>
      </c>
      <c r="M11" s="11">
        <v>0</v>
      </c>
      <c r="N11" s="11"/>
      <c r="U11" s="7"/>
      <c r="V11" s="7" t="s">
        <v>49</v>
      </c>
      <c r="W11" s="7" t="s">
        <v>172</v>
      </c>
      <c r="X11" s="7" t="s">
        <v>173</v>
      </c>
      <c r="Y11" s="7" t="s">
        <v>50</v>
      </c>
      <c r="Z11" s="7" t="s">
        <v>189</v>
      </c>
      <c r="AA11"/>
      <c r="AB11"/>
      <c r="AC11"/>
    </row>
    <row r="12" spans="1:29">
      <c r="A12" s="1">
        <f t="shared" si="2"/>
        <v>11</v>
      </c>
      <c r="B12" s="3">
        <v>120036</v>
      </c>
      <c r="C12" s="3" t="s">
        <v>16</v>
      </c>
      <c r="D12" s="3">
        <v>83</v>
      </c>
      <c r="E12" s="3">
        <v>88</v>
      </c>
      <c r="F12" s="3">
        <v>82</v>
      </c>
      <c r="G12" s="1" t="str">
        <f t="shared" si="0"/>
        <v>Male</v>
      </c>
      <c r="H12" s="4">
        <f t="shared" si="1"/>
        <v>0.84333333333333338</v>
      </c>
      <c r="L12" s="11" t="s">
        <v>42</v>
      </c>
      <c r="M12" s="11">
        <v>-25.9299756336877</v>
      </c>
      <c r="N12" s="11"/>
      <c r="U12" s="12" t="s">
        <v>186</v>
      </c>
      <c r="V12" s="12">
        <v>1</v>
      </c>
      <c r="W12" s="12">
        <v>60.891092667915473</v>
      </c>
      <c r="X12" s="12">
        <v>60.891092667915473</v>
      </c>
      <c r="Y12" s="12">
        <v>1.2659757181840632</v>
      </c>
      <c r="Z12" s="12">
        <v>0.26327112386108614</v>
      </c>
      <c r="AA12"/>
      <c r="AB12"/>
      <c r="AC12"/>
    </row>
    <row r="13" spans="1:29">
      <c r="A13" s="1">
        <f t="shared" si="2"/>
        <v>12</v>
      </c>
      <c r="B13" s="3">
        <v>120038</v>
      </c>
      <c r="C13" s="3" t="s">
        <v>17</v>
      </c>
      <c r="D13" s="3">
        <v>91</v>
      </c>
      <c r="E13" s="3">
        <v>95</v>
      </c>
      <c r="F13" s="3">
        <v>90</v>
      </c>
      <c r="G13" s="1" t="str">
        <f t="shared" si="0"/>
        <v>Male</v>
      </c>
      <c r="H13" s="4">
        <f t="shared" si="1"/>
        <v>0.92</v>
      </c>
      <c r="L13" s="11" t="s">
        <v>43</v>
      </c>
      <c r="M13" s="11">
        <v>0</v>
      </c>
      <c r="N13" s="11"/>
      <c r="U13" s="12" t="s">
        <v>187</v>
      </c>
      <c r="V13" s="12">
        <v>98</v>
      </c>
      <c r="W13" s="12">
        <v>4713.6189073320857</v>
      </c>
      <c r="X13" s="12">
        <v>48.098152115633525</v>
      </c>
      <c r="Y13" s="12"/>
      <c r="Z13" s="12"/>
      <c r="AA13"/>
      <c r="AB13"/>
      <c r="AC13"/>
    </row>
    <row r="14" spans="1:29" ht="15.75" thickBot="1">
      <c r="A14" s="1">
        <f t="shared" si="2"/>
        <v>13</v>
      </c>
      <c r="B14" s="3">
        <v>120039</v>
      </c>
      <c r="C14" s="3" t="s">
        <v>18</v>
      </c>
      <c r="D14" s="3">
        <v>76</v>
      </c>
      <c r="E14" s="3">
        <v>81</v>
      </c>
      <c r="F14" s="3">
        <v>75</v>
      </c>
      <c r="G14" s="1" t="str">
        <f t="shared" si="0"/>
        <v>Female</v>
      </c>
      <c r="H14" s="4">
        <f t="shared" si="1"/>
        <v>0.77333333333333332</v>
      </c>
      <c r="L14" s="11" t="s">
        <v>44</v>
      </c>
      <c r="M14" s="11">
        <v>1.6448536269514715</v>
      </c>
      <c r="N14" s="11"/>
      <c r="U14" s="6" t="s">
        <v>179</v>
      </c>
      <c r="V14" s="6">
        <v>99</v>
      </c>
      <c r="W14" s="6">
        <v>4774.5100000000011</v>
      </c>
      <c r="X14" s="6"/>
      <c r="Y14" s="6"/>
      <c r="Z14" s="6"/>
      <c r="AA14"/>
      <c r="AB14"/>
      <c r="AC14"/>
    </row>
    <row r="15" spans="1:29" ht="15.75" thickBot="1">
      <c r="A15" s="1">
        <f t="shared" si="2"/>
        <v>14</v>
      </c>
      <c r="B15" s="3">
        <v>120046</v>
      </c>
      <c r="C15" s="3" t="s">
        <v>19</v>
      </c>
      <c r="D15" s="3">
        <v>89</v>
      </c>
      <c r="E15" s="3">
        <v>93</v>
      </c>
      <c r="F15" s="3">
        <v>88</v>
      </c>
      <c r="G15" s="1" t="str">
        <f t="shared" si="0"/>
        <v>Male</v>
      </c>
      <c r="H15" s="4">
        <f t="shared" si="1"/>
        <v>0.9</v>
      </c>
      <c r="L15" s="11" t="s">
        <v>45</v>
      </c>
      <c r="M15" s="11">
        <v>0</v>
      </c>
      <c r="N15" s="11"/>
      <c r="U15"/>
      <c r="V15"/>
      <c r="W15"/>
      <c r="X15"/>
      <c r="Y15"/>
      <c r="Z15"/>
      <c r="AA15"/>
      <c r="AB15"/>
      <c r="AC15"/>
    </row>
    <row r="16" spans="1:29">
      <c r="A16" s="1">
        <f t="shared" si="2"/>
        <v>15</v>
      </c>
      <c r="B16" s="3">
        <v>120047</v>
      </c>
      <c r="C16" s="3" t="s">
        <v>20</v>
      </c>
      <c r="D16" s="3">
        <v>80</v>
      </c>
      <c r="E16" s="3">
        <v>85</v>
      </c>
      <c r="F16" s="3">
        <v>79</v>
      </c>
      <c r="G16" s="1" t="str">
        <f t="shared" si="0"/>
        <v>Female</v>
      </c>
      <c r="H16" s="4">
        <f t="shared" si="1"/>
        <v>0.81333333333333335</v>
      </c>
      <c r="L16" s="11" t="s">
        <v>46</v>
      </c>
      <c r="M16" s="11">
        <v>1.9599639845400536</v>
      </c>
      <c r="N16" s="11"/>
      <c r="O16" t="s">
        <v>63</v>
      </c>
      <c r="P16"/>
      <c r="Q16"/>
      <c r="R16"/>
      <c r="S16"/>
      <c r="T16"/>
      <c r="U16" s="7"/>
      <c r="V16" s="7" t="s">
        <v>190</v>
      </c>
      <c r="W16" s="7" t="s">
        <v>185</v>
      </c>
      <c r="X16" s="7" t="s">
        <v>55</v>
      </c>
      <c r="Y16" s="7" t="s">
        <v>174</v>
      </c>
      <c r="Z16" s="7" t="s">
        <v>191</v>
      </c>
      <c r="AA16" s="7" t="s">
        <v>192</v>
      </c>
      <c r="AB16" s="7" t="s">
        <v>193</v>
      </c>
      <c r="AC16" s="7" t="s">
        <v>194</v>
      </c>
    </row>
    <row r="17" spans="1:29" ht="15.75" thickBot="1">
      <c r="A17" s="1">
        <f t="shared" si="2"/>
        <v>16</v>
      </c>
      <c r="B17" s="3">
        <v>120049</v>
      </c>
      <c r="C17" s="3" t="s">
        <v>21</v>
      </c>
      <c r="D17" s="3">
        <v>94</v>
      </c>
      <c r="E17" s="3">
        <v>90</v>
      </c>
      <c r="F17" s="3">
        <v>95</v>
      </c>
      <c r="G17" s="1" t="str">
        <f t="shared" si="0"/>
        <v>Female</v>
      </c>
      <c r="H17" s="4">
        <f t="shared" si="1"/>
        <v>0.93</v>
      </c>
      <c r="L17"/>
      <c r="M17"/>
      <c r="N17"/>
      <c r="O17"/>
      <c r="P17"/>
      <c r="Q17"/>
      <c r="R17"/>
      <c r="S17"/>
      <c r="T17"/>
      <c r="U17" s="12" t="s">
        <v>188</v>
      </c>
      <c r="V17" s="12">
        <v>80.554160712322741</v>
      </c>
      <c r="W17" s="12">
        <v>7.1578807140963283</v>
      </c>
      <c r="X17" s="12">
        <v>11.253912146605614</v>
      </c>
      <c r="Y17" s="12">
        <v>2.3582079576806455E-19</v>
      </c>
      <c r="Z17" s="12">
        <v>66.349579391944673</v>
      </c>
      <c r="AA17" s="12">
        <v>94.758742032700809</v>
      </c>
      <c r="AB17" s="12">
        <v>66.349579391944673</v>
      </c>
      <c r="AC17" s="12">
        <v>94.758742032700809</v>
      </c>
    </row>
    <row r="18" spans="1:29" ht="15.75" thickBot="1">
      <c r="A18" s="1">
        <f t="shared" si="2"/>
        <v>17</v>
      </c>
      <c r="B18" s="3">
        <v>120054</v>
      </c>
      <c r="C18" s="3" t="s">
        <v>22</v>
      </c>
      <c r="D18" s="3">
        <v>77</v>
      </c>
      <c r="E18" s="3">
        <v>82</v>
      </c>
      <c r="F18" s="3">
        <v>76</v>
      </c>
      <c r="G18" s="1" t="str">
        <f t="shared" si="0"/>
        <v>Male</v>
      </c>
      <c r="H18" s="4">
        <f t="shared" si="1"/>
        <v>0.78333333333333333</v>
      </c>
      <c r="L18" s="9" t="s">
        <v>47</v>
      </c>
      <c r="M18" s="9"/>
      <c r="N18" s="9"/>
      <c r="O18" s="7" t="s">
        <v>64</v>
      </c>
      <c r="P18" s="7" t="s">
        <v>65</v>
      </c>
      <c r="Q18" s="7" t="s">
        <v>66</v>
      </c>
      <c r="R18" s="7" t="s">
        <v>67</v>
      </c>
      <c r="S18" s="7" t="s">
        <v>48</v>
      </c>
      <c r="T18"/>
      <c r="U18" s="6" t="s">
        <v>195</v>
      </c>
      <c r="V18" s="6">
        <v>9.4470704627899332E-2</v>
      </c>
      <c r="W18" s="6">
        <v>8.3962327046973567E-2</v>
      </c>
      <c r="X18" s="6">
        <v>1.1251558639513022</v>
      </c>
      <c r="Y18" s="6">
        <v>0.26327112386109874</v>
      </c>
      <c r="Z18" s="6">
        <v>-7.2149800801616704E-2</v>
      </c>
      <c r="AA18" s="6">
        <v>0.26109121005741537</v>
      </c>
      <c r="AB18" s="6">
        <v>-7.2149800801616704E-2</v>
      </c>
      <c r="AC18" s="6">
        <v>0.26109121005741537</v>
      </c>
    </row>
    <row r="19" spans="1:29">
      <c r="A19" s="1">
        <f t="shared" si="2"/>
        <v>18</v>
      </c>
      <c r="B19" s="3">
        <v>120060</v>
      </c>
      <c r="C19" s="3" t="s">
        <v>23</v>
      </c>
      <c r="D19" s="3">
        <v>86</v>
      </c>
      <c r="E19" s="3">
        <v>89</v>
      </c>
      <c r="F19" s="3">
        <v>84</v>
      </c>
      <c r="G19" s="1" t="str">
        <f t="shared" si="0"/>
        <v>Male</v>
      </c>
      <c r="H19" s="4">
        <f t="shared" si="1"/>
        <v>0.86333333333333329</v>
      </c>
      <c r="L19" s="9"/>
      <c r="M19" s="9"/>
      <c r="N19" s="9"/>
      <c r="O19" s="12" t="s">
        <v>68</v>
      </c>
      <c r="P19" s="12">
        <v>2</v>
      </c>
      <c r="Q19" s="12">
        <v>168</v>
      </c>
      <c r="R19" s="12">
        <v>84</v>
      </c>
      <c r="S19" s="12">
        <v>72</v>
      </c>
      <c r="T19"/>
      <c r="U19"/>
      <c r="V19"/>
      <c r="W19"/>
      <c r="X19"/>
      <c r="Y19"/>
      <c r="Z19"/>
      <c r="AA19"/>
      <c r="AB19"/>
      <c r="AC19"/>
    </row>
    <row r="20" spans="1:29">
      <c r="A20" s="1">
        <f t="shared" si="2"/>
        <v>19</v>
      </c>
      <c r="B20" s="3">
        <v>120063</v>
      </c>
      <c r="C20" s="3" t="s">
        <v>24</v>
      </c>
      <c r="D20" s="3">
        <v>92</v>
      </c>
      <c r="E20" s="3">
        <v>88</v>
      </c>
      <c r="F20" s="3">
        <v>93</v>
      </c>
      <c r="G20" s="1" t="str">
        <f t="shared" si="0"/>
        <v>Female</v>
      </c>
      <c r="H20" s="4">
        <f t="shared" si="1"/>
        <v>0.91</v>
      </c>
      <c r="L20" s="10"/>
      <c r="M20" s="10">
        <v>85</v>
      </c>
      <c r="N20" s="10">
        <v>78</v>
      </c>
      <c r="O20" s="12" t="s">
        <v>69</v>
      </c>
      <c r="P20" s="12">
        <v>2</v>
      </c>
      <c r="Q20" s="12">
        <v>182</v>
      </c>
      <c r="R20" s="12">
        <v>91</v>
      </c>
      <c r="S20" s="12">
        <v>18</v>
      </c>
      <c r="T20"/>
      <c r="U20"/>
      <c r="V20"/>
      <c r="W20"/>
      <c r="X20"/>
      <c r="Y20"/>
      <c r="Z20"/>
      <c r="AA20"/>
      <c r="AB20"/>
      <c r="AC20"/>
    </row>
    <row r="21" spans="1:29">
      <c r="A21" s="1">
        <f t="shared" si="2"/>
        <v>20</v>
      </c>
      <c r="B21" s="3">
        <v>120070</v>
      </c>
      <c r="C21" s="3" t="s">
        <v>25</v>
      </c>
      <c r="D21" s="3">
        <v>78</v>
      </c>
      <c r="E21" s="3">
        <v>83</v>
      </c>
      <c r="F21" s="3">
        <v>77</v>
      </c>
      <c r="G21" s="1" t="str">
        <f t="shared" si="0"/>
        <v>Male</v>
      </c>
      <c r="H21" s="4">
        <f t="shared" si="1"/>
        <v>0.79333333333333333</v>
      </c>
      <c r="L21" s="11" t="s">
        <v>38</v>
      </c>
      <c r="M21" s="11">
        <v>82.919191919191917</v>
      </c>
      <c r="N21" s="11">
        <v>87.777777777777771</v>
      </c>
      <c r="O21" s="12" t="s">
        <v>70</v>
      </c>
      <c r="P21" s="12">
        <v>2</v>
      </c>
      <c r="Q21" s="12">
        <v>162</v>
      </c>
      <c r="R21" s="12">
        <v>81</v>
      </c>
      <c r="S21" s="12">
        <v>2</v>
      </c>
      <c r="T21"/>
      <c r="U21"/>
      <c r="V21"/>
      <c r="W21"/>
      <c r="X21"/>
      <c r="Y21"/>
      <c r="Z21"/>
      <c r="AA21"/>
      <c r="AB21"/>
      <c r="AC21"/>
    </row>
    <row r="22" spans="1:29">
      <c r="A22" s="1">
        <f t="shared" si="2"/>
        <v>21</v>
      </c>
      <c r="B22" s="3">
        <v>120071</v>
      </c>
      <c r="C22" s="3" t="s">
        <v>26</v>
      </c>
      <c r="D22" s="3">
        <v>85</v>
      </c>
      <c r="E22" s="3">
        <v>91</v>
      </c>
      <c r="F22" s="3">
        <v>87</v>
      </c>
      <c r="G22" s="1" t="str">
        <f t="shared" si="0"/>
        <v>Female</v>
      </c>
      <c r="H22" s="4">
        <f t="shared" si="1"/>
        <v>0.87666666666666671</v>
      </c>
      <c r="L22" s="11" t="s">
        <v>48</v>
      </c>
      <c r="M22" s="11">
        <v>64.544423830138143</v>
      </c>
      <c r="N22" s="11">
        <v>48.74603174603174</v>
      </c>
      <c r="O22" s="12" t="s">
        <v>71</v>
      </c>
      <c r="P22" s="12">
        <v>2</v>
      </c>
      <c r="Q22" s="12">
        <v>173</v>
      </c>
      <c r="R22" s="12">
        <v>86.5</v>
      </c>
      <c r="S22" s="12">
        <v>4.5</v>
      </c>
      <c r="T22"/>
      <c r="U22"/>
      <c r="V22"/>
    </row>
    <row r="23" spans="1:29">
      <c r="A23" s="1">
        <f t="shared" si="2"/>
        <v>22</v>
      </c>
      <c r="B23" s="3">
        <v>120073</v>
      </c>
      <c r="C23" s="3" t="s">
        <v>27</v>
      </c>
      <c r="D23" s="3">
        <v>93</v>
      </c>
      <c r="E23" s="3">
        <v>95</v>
      </c>
      <c r="F23" s="3">
        <v>92</v>
      </c>
      <c r="G23" s="1" t="str">
        <f t="shared" si="0"/>
        <v>Female</v>
      </c>
      <c r="H23" s="4">
        <f t="shared" si="1"/>
        <v>0.93333333333333335</v>
      </c>
      <c r="L23" s="11" t="s">
        <v>40</v>
      </c>
      <c r="M23" s="11">
        <v>99</v>
      </c>
      <c r="N23" s="11">
        <v>99</v>
      </c>
      <c r="O23" s="12" t="s">
        <v>72</v>
      </c>
      <c r="P23" s="12">
        <v>2</v>
      </c>
      <c r="Q23" s="12">
        <v>157</v>
      </c>
      <c r="R23" s="12">
        <v>78.5</v>
      </c>
      <c r="S23" s="12">
        <v>4.5</v>
      </c>
      <c r="T23"/>
      <c r="U23"/>
      <c r="V23"/>
    </row>
    <row r="24" spans="1:29">
      <c r="A24" s="1">
        <f t="shared" si="2"/>
        <v>23</v>
      </c>
      <c r="B24" s="3">
        <v>120082</v>
      </c>
      <c r="C24" s="3" t="s">
        <v>28</v>
      </c>
      <c r="D24" s="3">
        <v>81</v>
      </c>
      <c r="E24" s="3">
        <v>87</v>
      </c>
      <c r="F24" s="3">
        <v>80</v>
      </c>
      <c r="G24" s="1" t="str">
        <f t="shared" si="0"/>
        <v>Male</v>
      </c>
      <c r="H24" s="4">
        <f t="shared" si="1"/>
        <v>0.82666666666666666</v>
      </c>
      <c r="L24" s="11" t="s">
        <v>49</v>
      </c>
      <c r="M24" s="11">
        <v>98</v>
      </c>
      <c r="N24" s="11">
        <v>98</v>
      </c>
      <c r="O24" s="12" t="s">
        <v>73</v>
      </c>
      <c r="P24" s="12">
        <v>2</v>
      </c>
      <c r="Q24" s="12">
        <v>178</v>
      </c>
      <c r="R24" s="12">
        <v>89</v>
      </c>
      <c r="S24" s="12">
        <v>18</v>
      </c>
      <c r="T24"/>
      <c r="U24"/>
      <c r="V24"/>
    </row>
    <row r="25" spans="1:29">
      <c r="A25" s="1">
        <f t="shared" si="2"/>
        <v>24</v>
      </c>
      <c r="B25" s="3">
        <v>120083</v>
      </c>
      <c r="C25" s="3" t="s">
        <v>29</v>
      </c>
      <c r="D25" s="3">
        <v>87</v>
      </c>
      <c r="E25" s="3">
        <v>90</v>
      </c>
      <c r="F25" s="3">
        <v>85</v>
      </c>
      <c r="G25" s="1" t="str">
        <f t="shared" si="0"/>
        <v>Female</v>
      </c>
      <c r="H25" s="4">
        <f t="shared" si="1"/>
        <v>0.87333333333333329</v>
      </c>
      <c r="L25" s="11" t="s">
        <v>50</v>
      </c>
      <c r="M25" s="11">
        <v>1.3240959626501803</v>
      </c>
      <c r="N25" s="11"/>
      <c r="O25" s="12" t="s">
        <v>74</v>
      </c>
      <c r="P25" s="12">
        <v>2</v>
      </c>
      <c r="Q25" s="12">
        <v>163</v>
      </c>
      <c r="R25" s="12">
        <v>81.5</v>
      </c>
      <c r="S25" s="12">
        <v>12.5</v>
      </c>
      <c r="T25"/>
      <c r="U25"/>
      <c r="V25"/>
    </row>
    <row r="26" spans="1:29">
      <c r="A26" s="1">
        <f t="shared" si="2"/>
        <v>25</v>
      </c>
      <c r="B26" s="3">
        <v>120088</v>
      </c>
      <c r="C26" s="3" t="s">
        <v>30</v>
      </c>
      <c r="D26" s="3">
        <v>79</v>
      </c>
      <c r="E26" s="3">
        <v>84</v>
      </c>
      <c r="F26" s="3">
        <v>78</v>
      </c>
      <c r="G26" s="1" t="str">
        <f t="shared" si="0"/>
        <v>Male</v>
      </c>
      <c r="H26" s="4">
        <f t="shared" si="1"/>
        <v>0.80333333333333334</v>
      </c>
      <c r="L26" s="11" t="s">
        <v>51</v>
      </c>
      <c r="M26" s="11">
        <v>8.3218684086260042E-2</v>
      </c>
      <c r="N26" s="11"/>
      <c r="O26" s="12" t="s">
        <v>75</v>
      </c>
      <c r="P26" s="12">
        <v>2</v>
      </c>
      <c r="Q26" s="12">
        <v>187</v>
      </c>
      <c r="R26" s="12">
        <v>93.5</v>
      </c>
      <c r="S26" s="12">
        <v>12.5</v>
      </c>
      <c r="T26"/>
      <c r="U26"/>
      <c r="V26"/>
    </row>
    <row r="27" spans="1:29">
      <c r="A27" s="1">
        <f t="shared" si="2"/>
        <v>26</v>
      </c>
      <c r="B27" s="3">
        <v>120090</v>
      </c>
      <c r="C27" s="3" t="s">
        <v>31</v>
      </c>
      <c r="D27" s="3">
        <v>90</v>
      </c>
      <c r="E27" s="3">
        <v>92</v>
      </c>
      <c r="F27" s="3">
        <v>89</v>
      </c>
      <c r="G27" s="1" t="str">
        <f t="shared" si="0"/>
        <v>Male</v>
      </c>
      <c r="H27" s="4">
        <f t="shared" si="1"/>
        <v>0.90333333333333332</v>
      </c>
      <c r="L27" s="11" t="s">
        <v>52</v>
      </c>
      <c r="M27" s="11">
        <v>1.3964430913388843</v>
      </c>
      <c r="N27" s="11"/>
      <c r="O27" s="12" t="s">
        <v>76</v>
      </c>
      <c r="P27" s="12">
        <v>2</v>
      </c>
      <c r="Q27" s="12">
        <v>162</v>
      </c>
      <c r="R27" s="12">
        <v>81</v>
      </c>
      <c r="S27" s="12">
        <v>18</v>
      </c>
      <c r="T27"/>
      <c r="U27"/>
      <c r="V27"/>
    </row>
    <row r="28" spans="1:29">
      <c r="A28" s="1">
        <f t="shared" si="2"/>
        <v>27</v>
      </c>
      <c r="B28" s="3">
        <v>120093</v>
      </c>
      <c r="C28" s="3" t="s">
        <v>32</v>
      </c>
      <c r="D28" s="3">
        <v>82</v>
      </c>
      <c r="E28" s="3">
        <v>87</v>
      </c>
      <c r="F28" s="3">
        <v>83</v>
      </c>
      <c r="G28" s="1" t="str">
        <f t="shared" si="0"/>
        <v>Female</v>
      </c>
      <c r="H28" s="4">
        <f t="shared" si="1"/>
        <v>0.84</v>
      </c>
      <c r="O28" s="12" t="s">
        <v>77</v>
      </c>
      <c r="P28" s="12">
        <v>2</v>
      </c>
      <c r="Q28" s="12">
        <v>175</v>
      </c>
      <c r="R28" s="12">
        <v>87.5</v>
      </c>
      <c r="S28" s="12">
        <v>12.5</v>
      </c>
      <c r="T28"/>
      <c r="U28"/>
      <c r="V28"/>
    </row>
    <row r="29" spans="1:29">
      <c r="A29" s="1">
        <f t="shared" si="2"/>
        <v>28</v>
      </c>
      <c r="B29" s="3">
        <v>120095</v>
      </c>
      <c r="C29" s="3" t="s">
        <v>33</v>
      </c>
      <c r="D29" s="3">
        <v>88</v>
      </c>
      <c r="E29" s="3">
        <v>91</v>
      </c>
      <c r="F29" s="3">
        <v>87</v>
      </c>
      <c r="G29" s="1" t="str">
        <f t="shared" si="0"/>
        <v>Female</v>
      </c>
      <c r="H29" s="4">
        <f t="shared" si="1"/>
        <v>0.88666666666666671</v>
      </c>
      <c r="L29" s="9" t="s">
        <v>53</v>
      </c>
      <c r="M29" s="9"/>
      <c r="N29" s="9"/>
      <c r="O29" s="12" t="s">
        <v>78</v>
      </c>
      <c r="P29" s="12">
        <v>2</v>
      </c>
      <c r="Q29" s="12">
        <v>170</v>
      </c>
      <c r="R29" s="12">
        <v>85</v>
      </c>
      <c r="S29" s="12">
        <v>18</v>
      </c>
      <c r="T29"/>
      <c r="U29"/>
      <c r="V29"/>
    </row>
    <row r="30" spans="1:29">
      <c r="A30" s="1">
        <f t="shared" si="2"/>
        <v>29</v>
      </c>
      <c r="B30" s="3">
        <v>120098</v>
      </c>
      <c r="C30" s="3" t="s">
        <v>34</v>
      </c>
      <c r="D30" s="3">
        <v>76</v>
      </c>
      <c r="E30" s="3">
        <v>81</v>
      </c>
      <c r="F30" s="3">
        <v>75</v>
      </c>
      <c r="G30" s="1" t="str">
        <f t="shared" si="0"/>
        <v>Male</v>
      </c>
      <c r="H30" s="4">
        <f t="shared" si="1"/>
        <v>0.77333333333333332</v>
      </c>
      <c r="L30" s="9"/>
      <c r="M30" s="9"/>
      <c r="N30" s="9"/>
      <c r="O30" s="12" t="s">
        <v>79</v>
      </c>
      <c r="P30" s="12">
        <v>2</v>
      </c>
      <c r="Q30" s="12">
        <v>185</v>
      </c>
      <c r="R30" s="12">
        <v>92.5</v>
      </c>
      <c r="S30" s="12">
        <v>12.5</v>
      </c>
      <c r="T30"/>
      <c r="U30"/>
      <c r="V30"/>
    </row>
    <row r="31" spans="1:29">
      <c r="A31" s="1">
        <f t="shared" si="2"/>
        <v>30</v>
      </c>
      <c r="B31" s="3">
        <v>120099</v>
      </c>
      <c r="C31" s="3" t="s">
        <v>35</v>
      </c>
      <c r="D31" s="3">
        <v>89</v>
      </c>
      <c r="E31" s="3">
        <v>93</v>
      </c>
      <c r="F31" s="3">
        <v>88</v>
      </c>
      <c r="G31" s="1" t="str">
        <f t="shared" si="0"/>
        <v>Female</v>
      </c>
      <c r="H31" s="4">
        <f t="shared" si="1"/>
        <v>0.9</v>
      </c>
      <c r="L31" s="10"/>
      <c r="M31" s="10">
        <v>85</v>
      </c>
      <c r="N31" s="10">
        <v>78</v>
      </c>
      <c r="O31" s="12" t="s">
        <v>80</v>
      </c>
      <c r="P31" s="12">
        <v>2</v>
      </c>
      <c r="Q31" s="12">
        <v>156</v>
      </c>
      <c r="R31" s="12">
        <v>78</v>
      </c>
      <c r="S31" s="12">
        <v>18</v>
      </c>
      <c r="T31"/>
      <c r="U31"/>
      <c r="V31"/>
    </row>
    <row r="32" spans="1:29">
      <c r="A32" s="1">
        <f t="shared" si="2"/>
        <v>31</v>
      </c>
      <c r="B32" s="1">
        <f>B31+1</f>
        <v>120100</v>
      </c>
      <c r="C32" s="3" t="s">
        <v>6</v>
      </c>
      <c r="D32" s="1">
        <f ca="1">RANDBETWEEN(70,100)</f>
        <v>93</v>
      </c>
      <c r="E32" s="1">
        <f ca="1">RANDBETWEEN(75,100)</f>
        <v>95</v>
      </c>
      <c r="F32" s="1">
        <f ca="1">RANDBETWEEN(75,100)</f>
        <v>83</v>
      </c>
      <c r="G32" s="1" t="str">
        <f t="shared" si="0"/>
        <v>Male</v>
      </c>
      <c r="H32" s="5">
        <f ca="1">(D32+E32+F32)/300</f>
        <v>0.90333333333333332</v>
      </c>
      <c r="L32" s="11" t="s">
        <v>38</v>
      </c>
      <c r="M32" s="11">
        <v>85.686868686868692</v>
      </c>
      <c r="N32" s="11">
        <v>88.030303030303031</v>
      </c>
      <c r="O32" s="12" t="s">
        <v>81</v>
      </c>
      <c r="P32" s="12">
        <v>2</v>
      </c>
      <c r="Q32" s="12">
        <v>181</v>
      </c>
      <c r="R32" s="12">
        <v>90.5</v>
      </c>
      <c r="S32" s="12">
        <v>12.5</v>
      </c>
      <c r="T32"/>
      <c r="U32"/>
      <c r="V32"/>
    </row>
    <row r="33" spans="1:22">
      <c r="A33" s="1">
        <f t="shared" si="2"/>
        <v>32</v>
      </c>
      <c r="B33" s="1">
        <f t="shared" ref="B33:B96" si="3">B32+1</f>
        <v>120101</v>
      </c>
      <c r="C33" s="3" t="s">
        <v>7</v>
      </c>
      <c r="D33" s="1">
        <f t="shared" ref="D33:D96" ca="1" si="4">RANDBETWEEN(70,100)</f>
        <v>70</v>
      </c>
      <c r="E33" s="1">
        <f t="shared" ref="E33:F96" ca="1" si="5">RANDBETWEEN(75,100)</f>
        <v>77</v>
      </c>
      <c r="F33" s="1">
        <f t="shared" ca="1" si="5"/>
        <v>99</v>
      </c>
      <c r="G33" s="1" t="str">
        <f t="shared" si="0"/>
        <v>Female</v>
      </c>
      <c r="H33" s="5">
        <f t="shared" ref="H33:H96" ca="1" si="6">(D33+E33+F33)/300</f>
        <v>0.82</v>
      </c>
      <c r="L33" s="11" t="s">
        <v>48</v>
      </c>
      <c r="M33" s="11">
        <v>75.441764584621325</v>
      </c>
      <c r="N33" s="11">
        <v>45.254174397031534</v>
      </c>
      <c r="O33" s="12" t="s">
        <v>82</v>
      </c>
      <c r="P33" s="12">
        <v>2</v>
      </c>
      <c r="Q33" s="12">
        <v>164</v>
      </c>
      <c r="R33" s="12">
        <v>82</v>
      </c>
      <c r="S33" s="12">
        <v>18</v>
      </c>
      <c r="T33"/>
      <c r="U33"/>
      <c r="V33"/>
    </row>
    <row r="34" spans="1:22">
      <c r="A34" s="1">
        <f t="shared" si="2"/>
        <v>33</v>
      </c>
      <c r="B34" s="1">
        <f t="shared" si="3"/>
        <v>120102</v>
      </c>
      <c r="C34" s="3" t="s">
        <v>8</v>
      </c>
      <c r="D34" s="1">
        <f t="shared" ca="1" si="4"/>
        <v>77</v>
      </c>
      <c r="E34" s="1">
        <f t="shared" ca="1" si="5"/>
        <v>90</v>
      </c>
      <c r="F34" s="1">
        <f t="shared" ca="1" si="5"/>
        <v>93</v>
      </c>
      <c r="G34" s="1" t="str">
        <f t="shared" ref="G34:G65" si="7">IF(MOD(B34,2)=0,"Male","Female")</f>
        <v>Male</v>
      </c>
      <c r="H34" s="5">
        <f t="shared" ca="1" si="6"/>
        <v>0.8666666666666667</v>
      </c>
      <c r="L34" s="11" t="s">
        <v>40</v>
      </c>
      <c r="M34" s="11">
        <v>99</v>
      </c>
      <c r="N34" s="11">
        <v>99</v>
      </c>
      <c r="O34" s="12" t="s">
        <v>83</v>
      </c>
      <c r="P34" s="12">
        <v>2</v>
      </c>
      <c r="Q34" s="12">
        <v>185</v>
      </c>
      <c r="R34" s="12">
        <v>92.5</v>
      </c>
      <c r="S34" s="12">
        <v>12.5</v>
      </c>
      <c r="T34"/>
      <c r="U34"/>
      <c r="V34"/>
    </row>
    <row r="35" spans="1:22">
      <c r="A35" s="1">
        <f t="shared" si="2"/>
        <v>34</v>
      </c>
      <c r="B35" s="1">
        <f t="shared" si="3"/>
        <v>120103</v>
      </c>
      <c r="C35" s="3" t="s">
        <v>9</v>
      </c>
      <c r="D35" s="1">
        <f t="shared" ca="1" si="4"/>
        <v>95</v>
      </c>
      <c r="E35" s="1">
        <f t="shared" ca="1" si="5"/>
        <v>83</v>
      </c>
      <c r="F35" s="1">
        <f t="shared" ca="1" si="5"/>
        <v>92</v>
      </c>
      <c r="G35" s="1" t="str">
        <f t="shared" si="7"/>
        <v>Female</v>
      </c>
      <c r="H35" s="5">
        <f t="shared" ca="1" si="6"/>
        <v>0.9</v>
      </c>
      <c r="L35" s="11" t="s">
        <v>54</v>
      </c>
      <c r="M35" s="11">
        <v>0.16222809290493526</v>
      </c>
      <c r="N35" s="11"/>
      <c r="O35" s="12" t="s">
        <v>84</v>
      </c>
      <c r="P35" s="12">
        <v>2</v>
      </c>
      <c r="Q35" s="12">
        <v>158</v>
      </c>
      <c r="R35" s="12">
        <v>79</v>
      </c>
      <c r="S35" s="12">
        <v>18</v>
      </c>
      <c r="T35"/>
      <c r="U35"/>
      <c r="V35"/>
    </row>
    <row r="36" spans="1:22">
      <c r="A36" s="1">
        <f t="shared" si="2"/>
        <v>35</v>
      </c>
      <c r="B36" s="1">
        <f t="shared" si="3"/>
        <v>120104</v>
      </c>
      <c r="C36" s="3" t="s">
        <v>10</v>
      </c>
      <c r="D36" s="1">
        <f t="shared" ca="1" si="4"/>
        <v>85</v>
      </c>
      <c r="E36" s="1">
        <f t="shared" ca="1" si="5"/>
        <v>80</v>
      </c>
      <c r="F36" s="1">
        <f t="shared" ca="1" si="5"/>
        <v>94</v>
      </c>
      <c r="G36" s="1" t="str">
        <f t="shared" si="7"/>
        <v>Male</v>
      </c>
      <c r="H36" s="5">
        <f t="shared" ca="1" si="6"/>
        <v>0.86333333333333329</v>
      </c>
      <c r="L36" s="11" t="s">
        <v>41</v>
      </c>
      <c r="M36" s="11">
        <v>1.68</v>
      </c>
      <c r="N36" s="11"/>
      <c r="O36" s="12" t="s">
        <v>85</v>
      </c>
      <c r="P36" s="12">
        <v>2</v>
      </c>
      <c r="Q36" s="12">
        <v>173</v>
      </c>
      <c r="R36" s="12">
        <v>86.5</v>
      </c>
      <c r="S36" s="12">
        <v>12.5</v>
      </c>
      <c r="T36"/>
      <c r="U36"/>
      <c r="V36"/>
    </row>
    <row r="37" spans="1:22">
      <c r="A37" s="1">
        <f t="shared" si="2"/>
        <v>36</v>
      </c>
      <c r="B37" s="1">
        <f t="shared" si="3"/>
        <v>120105</v>
      </c>
      <c r="C37" s="3" t="s">
        <v>11</v>
      </c>
      <c r="D37" s="1">
        <f t="shared" ca="1" si="4"/>
        <v>99</v>
      </c>
      <c r="E37" s="1">
        <f t="shared" ca="1" si="5"/>
        <v>77</v>
      </c>
      <c r="F37" s="1">
        <f t="shared" ca="1" si="5"/>
        <v>81</v>
      </c>
      <c r="G37" s="1" t="str">
        <f t="shared" si="7"/>
        <v>Female</v>
      </c>
      <c r="H37" s="5">
        <f t="shared" ca="1" si="6"/>
        <v>0.85666666666666669</v>
      </c>
      <c r="L37" s="11" t="s">
        <v>49</v>
      </c>
      <c r="M37" s="11">
        <v>98</v>
      </c>
      <c r="N37" s="11"/>
      <c r="O37" s="12" t="s">
        <v>86</v>
      </c>
      <c r="P37" s="12">
        <v>2</v>
      </c>
      <c r="Q37" s="12">
        <v>181</v>
      </c>
      <c r="R37" s="12">
        <v>90.5</v>
      </c>
      <c r="S37" s="12">
        <v>12.5</v>
      </c>
      <c r="T37"/>
      <c r="U37"/>
      <c r="V37"/>
    </row>
    <row r="38" spans="1:22">
      <c r="A38" s="1">
        <f t="shared" si="2"/>
        <v>37</v>
      </c>
      <c r="B38" s="1">
        <f t="shared" si="3"/>
        <v>120106</v>
      </c>
      <c r="C38" s="3" t="s">
        <v>12</v>
      </c>
      <c r="D38" s="1">
        <f t="shared" ca="1" si="4"/>
        <v>93</v>
      </c>
      <c r="E38" s="1">
        <f t="shared" ca="1" si="5"/>
        <v>92</v>
      </c>
      <c r="F38" s="1">
        <f t="shared" ca="1" si="5"/>
        <v>78</v>
      </c>
      <c r="G38" s="1" t="str">
        <f t="shared" si="7"/>
        <v>Male</v>
      </c>
      <c r="H38" s="5">
        <f t="shared" ca="1" si="6"/>
        <v>0.87666666666666671</v>
      </c>
      <c r="L38" s="11" t="s">
        <v>55</v>
      </c>
      <c r="M38" s="11">
        <v>-3.9689253888154385</v>
      </c>
      <c r="N38" s="11"/>
      <c r="O38" s="12" t="s">
        <v>87</v>
      </c>
      <c r="P38" s="12">
        <v>2</v>
      </c>
      <c r="Q38" s="12">
        <v>160</v>
      </c>
      <c r="R38" s="12">
        <v>80</v>
      </c>
      <c r="S38" s="12">
        <v>18</v>
      </c>
      <c r="T38"/>
      <c r="U38"/>
      <c r="V38"/>
    </row>
    <row r="39" spans="1:22">
      <c r="A39" s="1">
        <f t="shared" si="2"/>
        <v>38</v>
      </c>
      <c r="B39" s="1">
        <f t="shared" si="3"/>
        <v>120107</v>
      </c>
      <c r="C39" s="3" t="s">
        <v>13</v>
      </c>
      <c r="D39" s="1">
        <f t="shared" ca="1" si="4"/>
        <v>83</v>
      </c>
      <c r="E39" s="1">
        <f t="shared" ca="1" si="5"/>
        <v>75</v>
      </c>
      <c r="F39" s="1">
        <f t="shared" ca="1" si="5"/>
        <v>100</v>
      </c>
      <c r="G39" s="1" t="str">
        <f t="shared" si="7"/>
        <v>Female</v>
      </c>
      <c r="H39" s="5">
        <f t="shared" ca="1" si="6"/>
        <v>0.86</v>
      </c>
      <c r="L39" s="11" t="s">
        <v>56</v>
      </c>
      <c r="M39" s="11">
        <v>6.8822110019071286E-5</v>
      </c>
      <c r="N39" s="11"/>
      <c r="O39" s="12" t="s">
        <v>88</v>
      </c>
      <c r="P39" s="12">
        <v>2</v>
      </c>
      <c r="Q39" s="12">
        <v>178</v>
      </c>
      <c r="R39" s="12">
        <v>89</v>
      </c>
      <c r="S39" s="12">
        <v>8</v>
      </c>
      <c r="T39"/>
      <c r="U39"/>
      <c r="V39"/>
    </row>
    <row r="40" spans="1:22">
      <c r="A40" s="1">
        <f t="shared" si="2"/>
        <v>39</v>
      </c>
      <c r="B40" s="1">
        <f t="shared" si="3"/>
        <v>120108</v>
      </c>
      <c r="C40" s="3" t="s">
        <v>14</v>
      </c>
      <c r="D40" s="1">
        <f t="shared" ca="1" si="4"/>
        <v>95</v>
      </c>
      <c r="E40" s="1">
        <f t="shared" ca="1" si="5"/>
        <v>83</v>
      </c>
      <c r="F40" s="1">
        <f t="shared" ca="1" si="5"/>
        <v>89</v>
      </c>
      <c r="G40" s="1" t="str">
        <f t="shared" si="7"/>
        <v>Male</v>
      </c>
      <c r="H40" s="5">
        <f t="shared" ca="1" si="6"/>
        <v>0.89</v>
      </c>
      <c r="L40" s="11" t="s">
        <v>57</v>
      </c>
      <c r="M40" s="11">
        <v>1.6605512170657302</v>
      </c>
      <c r="N40" s="11"/>
      <c r="O40" s="12" t="s">
        <v>89</v>
      </c>
      <c r="P40" s="12">
        <v>2</v>
      </c>
      <c r="Q40" s="12">
        <v>187</v>
      </c>
      <c r="R40" s="12">
        <v>93.5</v>
      </c>
      <c r="S40" s="12">
        <v>4.5</v>
      </c>
      <c r="T40"/>
      <c r="U40"/>
      <c r="V40"/>
    </row>
    <row r="41" spans="1:22">
      <c r="A41" s="1">
        <f t="shared" si="2"/>
        <v>40</v>
      </c>
      <c r="B41" s="1">
        <f t="shared" si="3"/>
        <v>120109</v>
      </c>
      <c r="C41" s="3" t="s">
        <v>15</v>
      </c>
      <c r="D41" s="1">
        <f t="shared" ca="1" si="4"/>
        <v>96</v>
      </c>
      <c r="E41" s="1">
        <f t="shared" ca="1" si="5"/>
        <v>88</v>
      </c>
      <c r="F41" s="1">
        <f t="shared" ca="1" si="5"/>
        <v>94</v>
      </c>
      <c r="G41" s="1" t="str">
        <f t="shared" si="7"/>
        <v>Female</v>
      </c>
      <c r="H41" s="5">
        <f t="shared" ca="1" si="6"/>
        <v>0.92666666666666664</v>
      </c>
      <c r="L41" s="11" t="s">
        <v>58</v>
      </c>
      <c r="M41" s="11">
        <v>1.3764422003814257E-4</v>
      </c>
      <c r="N41" s="11"/>
      <c r="O41" s="12" t="s">
        <v>90</v>
      </c>
      <c r="P41" s="12">
        <v>2</v>
      </c>
      <c r="Q41" s="12">
        <v>167</v>
      </c>
      <c r="R41" s="12">
        <v>83.5</v>
      </c>
      <c r="S41" s="12">
        <v>24.5</v>
      </c>
      <c r="T41"/>
      <c r="U41"/>
      <c r="V41"/>
    </row>
    <row r="42" spans="1:22">
      <c r="A42" s="1">
        <f t="shared" si="2"/>
        <v>41</v>
      </c>
      <c r="B42" s="1">
        <f t="shared" si="3"/>
        <v>120110</v>
      </c>
      <c r="C42" s="3" t="s">
        <v>16</v>
      </c>
      <c r="D42" s="1">
        <f t="shared" ca="1" si="4"/>
        <v>79</v>
      </c>
      <c r="E42" s="1">
        <f t="shared" ca="1" si="5"/>
        <v>85</v>
      </c>
      <c r="F42" s="1">
        <f t="shared" ca="1" si="5"/>
        <v>75</v>
      </c>
      <c r="G42" s="1" t="str">
        <f t="shared" si="7"/>
        <v>Male</v>
      </c>
      <c r="H42" s="5">
        <f t="shared" ca="1" si="6"/>
        <v>0.79666666666666663</v>
      </c>
      <c r="L42" s="11" t="s">
        <v>59</v>
      </c>
      <c r="M42" s="11">
        <v>1.9844674545084788</v>
      </c>
      <c r="N42" s="11"/>
      <c r="O42" s="12" t="s">
        <v>91</v>
      </c>
      <c r="P42" s="12">
        <v>2</v>
      </c>
      <c r="Q42" s="12">
        <v>175</v>
      </c>
      <c r="R42" s="12">
        <v>87.5</v>
      </c>
      <c r="S42" s="12">
        <v>12.5</v>
      </c>
      <c r="T42"/>
      <c r="U42"/>
      <c r="V42"/>
    </row>
    <row r="43" spans="1:22">
      <c r="A43" s="1">
        <f t="shared" si="2"/>
        <v>42</v>
      </c>
      <c r="B43" s="1">
        <f t="shared" si="3"/>
        <v>120111</v>
      </c>
      <c r="C43" s="3" t="s">
        <v>17</v>
      </c>
      <c r="D43" s="1">
        <f t="shared" ca="1" si="4"/>
        <v>79</v>
      </c>
      <c r="E43" s="1">
        <f t="shared" ca="1" si="5"/>
        <v>96</v>
      </c>
      <c r="F43" s="1">
        <f t="shared" ca="1" si="5"/>
        <v>90</v>
      </c>
      <c r="G43" s="1" t="str">
        <f t="shared" si="7"/>
        <v>Female</v>
      </c>
      <c r="H43" s="5">
        <f t="shared" ca="1" si="6"/>
        <v>0.8833333333333333</v>
      </c>
      <c r="O43" s="12" t="s">
        <v>92</v>
      </c>
      <c r="P43" s="12">
        <v>2</v>
      </c>
      <c r="Q43" s="12">
        <v>162</v>
      </c>
      <c r="R43" s="12">
        <v>81</v>
      </c>
      <c r="S43" s="12">
        <v>18</v>
      </c>
      <c r="T43"/>
      <c r="U43"/>
      <c r="V43"/>
    </row>
    <row r="44" spans="1:22">
      <c r="A44" s="1">
        <f t="shared" si="2"/>
        <v>43</v>
      </c>
      <c r="B44" s="1">
        <f t="shared" si="3"/>
        <v>120112</v>
      </c>
      <c r="C44" s="3" t="s">
        <v>18</v>
      </c>
      <c r="D44" s="1">
        <f t="shared" ca="1" si="4"/>
        <v>100</v>
      </c>
      <c r="E44" s="1">
        <f t="shared" ca="1" si="5"/>
        <v>84</v>
      </c>
      <c r="F44" s="1">
        <f t="shared" ca="1" si="5"/>
        <v>77</v>
      </c>
      <c r="G44" s="1" t="str">
        <f t="shared" si="7"/>
        <v>Male</v>
      </c>
      <c r="H44" s="5">
        <f t="shared" ca="1" si="6"/>
        <v>0.87</v>
      </c>
      <c r="L44" s="9" t="s">
        <v>60</v>
      </c>
      <c r="M44" s="9"/>
      <c r="N44" s="9"/>
      <c r="O44" s="12" t="s">
        <v>93</v>
      </c>
      <c r="P44" s="12">
        <v>2</v>
      </c>
      <c r="Q44" s="12">
        <v>181</v>
      </c>
      <c r="R44" s="12">
        <v>90.5</v>
      </c>
      <c r="S44" s="12">
        <v>4.5</v>
      </c>
      <c r="T44"/>
      <c r="U44"/>
      <c r="V44"/>
    </row>
    <row r="45" spans="1:22">
      <c r="A45" s="1">
        <f t="shared" si="2"/>
        <v>44</v>
      </c>
      <c r="B45" s="1">
        <f t="shared" si="3"/>
        <v>120113</v>
      </c>
      <c r="C45" s="3" t="s">
        <v>19</v>
      </c>
      <c r="D45" s="1">
        <f t="shared" ca="1" si="4"/>
        <v>99</v>
      </c>
      <c r="E45" s="1">
        <f t="shared" ca="1" si="5"/>
        <v>81</v>
      </c>
      <c r="F45" s="1">
        <f t="shared" ca="1" si="5"/>
        <v>89</v>
      </c>
      <c r="G45" s="1" t="str">
        <f t="shared" si="7"/>
        <v>Female</v>
      </c>
      <c r="H45" s="5">
        <f t="shared" ca="1" si="6"/>
        <v>0.89666666666666661</v>
      </c>
      <c r="L45" s="9"/>
      <c r="M45" s="9"/>
      <c r="N45" s="9"/>
      <c r="O45" s="12" t="s">
        <v>94</v>
      </c>
      <c r="P45" s="12">
        <v>2</v>
      </c>
      <c r="Q45" s="12">
        <v>170</v>
      </c>
      <c r="R45" s="12">
        <v>85</v>
      </c>
      <c r="S45" s="12">
        <v>8</v>
      </c>
      <c r="T45"/>
      <c r="U45"/>
      <c r="V45"/>
    </row>
    <row r="46" spans="1:22">
      <c r="A46" s="1">
        <f t="shared" si="2"/>
        <v>45</v>
      </c>
      <c r="B46" s="1">
        <f t="shared" si="3"/>
        <v>120114</v>
      </c>
      <c r="C46" s="3" t="s">
        <v>20</v>
      </c>
      <c r="D46" s="1">
        <f t="shared" ca="1" si="4"/>
        <v>100</v>
      </c>
      <c r="E46" s="1">
        <f t="shared" ca="1" si="5"/>
        <v>95</v>
      </c>
      <c r="F46" s="1">
        <f t="shared" ca="1" si="5"/>
        <v>90</v>
      </c>
      <c r="G46" s="1" t="str">
        <f t="shared" si="7"/>
        <v>Male</v>
      </c>
      <c r="H46" s="5">
        <f t="shared" ca="1" si="6"/>
        <v>0.95</v>
      </c>
      <c r="L46" s="10"/>
      <c r="M46" s="10">
        <v>85</v>
      </c>
      <c r="N46" s="10">
        <v>78</v>
      </c>
      <c r="O46" s="12" t="s">
        <v>95</v>
      </c>
      <c r="P46" s="12">
        <v>2</v>
      </c>
      <c r="Q46" s="12">
        <v>178</v>
      </c>
      <c r="R46" s="12">
        <v>89</v>
      </c>
      <c r="S46" s="12">
        <v>8</v>
      </c>
      <c r="T46"/>
      <c r="U46"/>
      <c r="V46"/>
    </row>
    <row r="47" spans="1:22">
      <c r="A47" s="1">
        <f t="shared" si="2"/>
        <v>46</v>
      </c>
      <c r="B47" s="1">
        <f t="shared" si="3"/>
        <v>120115</v>
      </c>
      <c r="C47" s="3" t="s">
        <v>21</v>
      </c>
      <c r="D47" s="1">
        <f t="shared" ca="1" si="4"/>
        <v>89</v>
      </c>
      <c r="E47" s="1">
        <f t="shared" ca="1" si="5"/>
        <v>80</v>
      </c>
      <c r="F47" s="1">
        <f t="shared" ca="1" si="5"/>
        <v>76</v>
      </c>
      <c r="G47" s="1" t="str">
        <f t="shared" si="7"/>
        <v>Female</v>
      </c>
      <c r="H47" s="5">
        <f t="shared" ca="1" si="6"/>
        <v>0.81666666666666665</v>
      </c>
      <c r="L47" s="11" t="s">
        <v>38</v>
      </c>
      <c r="M47" s="11">
        <v>84.262626262626256</v>
      </c>
      <c r="N47" s="11">
        <v>88.414141414141412</v>
      </c>
      <c r="O47" s="12" t="s">
        <v>96</v>
      </c>
      <c r="P47" s="12">
        <v>2</v>
      </c>
      <c r="Q47" s="12">
        <v>156</v>
      </c>
      <c r="R47" s="12">
        <v>78</v>
      </c>
      <c r="S47" s="12">
        <v>18</v>
      </c>
      <c r="T47"/>
      <c r="U47"/>
      <c r="V47"/>
    </row>
    <row r="48" spans="1:22">
      <c r="A48" s="1">
        <f t="shared" si="2"/>
        <v>47</v>
      </c>
      <c r="B48" s="1">
        <f t="shared" si="3"/>
        <v>120116</v>
      </c>
      <c r="C48" s="3" t="s">
        <v>22</v>
      </c>
      <c r="D48" s="1">
        <f t="shared" ca="1" si="4"/>
        <v>97</v>
      </c>
      <c r="E48" s="1">
        <f t="shared" ca="1" si="5"/>
        <v>81</v>
      </c>
      <c r="F48" s="1">
        <f t="shared" ca="1" si="5"/>
        <v>77</v>
      </c>
      <c r="G48" s="1" t="str">
        <f t="shared" si="7"/>
        <v>Male</v>
      </c>
      <c r="H48" s="5">
        <f t="shared" ca="1" si="6"/>
        <v>0.85</v>
      </c>
      <c r="L48" s="11" t="s">
        <v>48</v>
      </c>
      <c r="M48" s="11">
        <v>58.338486909915453</v>
      </c>
      <c r="N48" s="11">
        <v>48.775716347144886</v>
      </c>
      <c r="O48" s="12" t="s">
        <v>97</v>
      </c>
      <c r="P48" s="12">
        <v>2</v>
      </c>
      <c r="Q48" s="12">
        <v>181</v>
      </c>
      <c r="R48" s="12">
        <v>90.5</v>
      </c>
      <c r="S48" s="12">
        <v>12.5</v>
      </c>
      <c r="T48"/>
      <c r="U48"/>
      <c r="V48"/>
    </row>
    <row r="49" spans="1:22">
      <c r="A49" s="1">
        <f t="shared" si="2"/>
        <v>48</v>
      </c>
      <c r="B49" s="1">
        <f t="shared" si="3"/>
        <v>120117</v>
      </c>
      <c r="C49" s="3" t="s">
        <v>23</v>
      </c>
      <c r="D49" s="1">
        <f t="shared" ca="1" si="4"/>
        <v>74</v>
      </c>
      <c r="E49" s="1">
        <f t="shared" ca="1" si="5"/>
        <v>88</v>
      </c>
      <c r="F49" s="1">
        <f t="shared" ca="1" si="5"/>
        <v>84</v>
      </c>
      <c r="G49" s="1" t="str">
        <f t="shared" si="7"/>
        <v>Female</v>
      </c>
      <c r="H49" s="5">
        <f t="shared" ca="1" si="6"/>
        <v>0.82</v>
      </c>
      <c r="L49" s="11" t="s">
        <v>40</v>
      </c>
      <c r="M49" s="11">
        <v>99</v>
      </c>
      <c r="N49" s="11">
        <v>99</v>
      </c>
      <c r="O49" s="12" t="s">
        <v>98</v>
      </c>
      <c r="P49" s="12">
        <v>2</v>
      </c>
      <c r="Q49" s="12">
        <v>164</v>
      </c>
      <c r="R49" s="12">
        <v>82</v>
      </c>
      <c r="S49" s="12">
        <v>8</v>
      </c>
      <c r="T49"/>
      <c r="U49"/>
      <c r="V49"/>
    </row>
    <row r="50" spans="1:22">
      <c r="A50" s="1">
        <f t="shared" si="2"/>
        <v>49</v>
      </c>
      <c r="B50" s="1">
        <f t="shared" si="3"/>
        <v>120118</v>
      </c>
      <c r="C50" s="3" t="s">
        <v>24</v>
      </c>
      <c r="D50" s="1">
        <f t="shared" ca="1" si="4"/>
        <v>85</v>
      </c>
      <c r="E50" s="1">
        <f t="shared" ca="1" si="5"/>
        <v>88</v>
      </c>
      <c r="F50" s="1">
        <f t="shared" ca="1" si="5"/>
        <v>85</v>
      </c>
      <c r="G50" s="1" t="str">
        <f t="shared" si="7"/>
        <v>Male</v>
      </c>
      <c r="H50" s="5">
        <f t="shared" ca="1" si="6"/>
        <v>0.86</v>
      </c>
      <c r="L50" s="11" t="s">
        <v>61</v>
      </c>
      <c r="M50" s="11">
        <v>53.55710162853017</v>
      </c>
      <c r="N50" s="11"/>
      <c r="O50" s="12" t="s">
        <v>99</v>
      </c>
      <c r="P50" s="12">
        <v>2</v>
      </c>
      <c r="Q50" s="12">
        <v>186</v>
      </c>
      <c r="R50" s="12">
        <v>93</v>
      </c>
      <c r="S50" s="12">
        <v>2</v>
      </c>
      <c r="T50"/>
      <c r="U50"/>
      <c r="V50"/>
    </row>
    <row r="51" spans="1:22">
      <c r="A51" s="1">
        <f t="shared" si="2"/>
        <v>50</v>
      </c>
      <c r="B51" s="1">
        <f t="shared" si="3"/>
        <v>120119</v>
      </c>
      <c r="C51" s="3" t="s">
        <v>25</v>
      </c>
      <c r="D51" s="1">
        <f t="shared" ca="1" si="4"/>
        <v>77</v>
      </c>
      <c r="E51" s="1">
        <f t="shared" ca="1" si="5"/>
        <v>92</v>
      </c>
      <c r="F51" s="1">
        <f t="shared" ca="1" si="5"/>
        <v>75</v>
      </c>
      <c r="G51" s="1" t="str">
        <f t="shared" si="7"/>
        <v>Female</v>
      </c>
      <c r="H51" s="5">
        <f t="shared" ca="1" si="6"/>
        <v>0.81333333333333335</v>
      </c>
      <c r="L51" s="11" t="s">
        <v>41</v>
      </c>
      <c r="M51" s="11">
        <v>1.61</v>
      </c>
      <c r="N51" s="11"/>
      <c r="O51" s="12" t="s">
        <v>100</v>
      </c>
      <c r="P51" s="12">
        <v>2</v>
      </c>
      <c r="Q51" s="12">
        <v>160</v>
      </c>
      <c r="R51" s="12">
        <v>80</v>
      </c>
      <c r="S51" s="12">
        <v>50</v>
      </c>
      <c r="T51"/>
      <c r="U51"/>
      <c r="V51"/>
    </row>
    <row r="52" spans="1:22">
      <c r="A52" s="1">
        <f t="shared" si="2"/>
        <v>51</v>
      </c>
      <c r="B52" s="1">
        <f t="shared" si="3"/>
        <v>120120</v>
      </c>
      <c r="C52" s="3" t="s">
        <v>26</v>
      </c>
      <c r="D52" s="1">
        <f t="shared" ca="1" si="4"/>
        <v>80</v>
      </c>
      <c r="E52" s="1">
        <f t="shared" ca="1" si="5"/>
        <v>93</v>
      </c>
      <c r="F52" s="1">
        <f t="shared" ca="1" si="5"/>
        <v>88</v>
      </c>
      <c r="G52" s="1" t="str">
        <f t="shared" si="7"/>
        <v>Male</v>
      </c>
      <c r="H52" s="5">
        <f t="shared" ca="1" si="6"/>
        <v>0.87</v>
      </c>
      <c r="L52" s="11" t="s">
        <v>49</v>
      </c>
      <c r="M52" s="11">
        <v>196</v>
      </c>
      <c r="N52" s="11"/>
      <c r="O52" s="12" t="s">
        <v>101</v>
      </c>
      <c r="P52" s="12">
        <v>2</v>
      </c>
      <c r="Q52" s="12">
        <v>164</v>
      </c>
      <c r="R52" s="12">
        <v>82</v>
      </c>
      <c r="S52" s="12">
        <v>32</v>
      </c>
      <c r="T52"/>
      <c r="U52"/>
      <c r="V52"/>
    </row>
    <row r="53" spans="1:22">
      <c r="A53" s="1">
        <f t="shared" si="2"/>
        <v>52</v>
      </c>
      <c r="B53" s="1">
        <f t="shared" si="3"/>
        <v>120121</v>
      </c>
      <c r="C53" s="3" t="s">
        <v>27</v>
      </c>
      <c r="D53" s="1">
        <f t="shared" ca="1" si="4"/>
        <v>97</v>
      </c>
      <c r="E53" s="1">
        <f t="shared" ca="1" si="5"/>
        <v>80</v>
      </c>
      <c r="F53" s="1">
        <f t="shared" ca="1" si="5"/>
        <v>82</v>
      </c>
      <c r="G53" s="1" t="str">
        <f t="shared" si="7"/>
        <v>Female</v>
      </c>
      <c r="H53" s="5">
        <f t="shared" ca="1" si="6"/>
        <v>0.86333333333333329</v>
      </c>
      <c r="L53" s="11" t="s">
        <v>55</v>
      </c>
      <c r="M53" s="11">
        <v>-5.5389924700185924</v>
      </c>
      <c r="N53" s="11"/>
      <c r="O53" s="12" t="s">
        <v>102</v>
      </c>
      <c r="P53" s="12">
        <v>2</v>
      </c>
      <c r="Q53" s="12">
        <v>166</v>
      </c>
      <c r="R53" s="12">
        <v>83</v>
      </c>
      <c r="S53" s="12">
        <v>2</v>
      </c>
      <c r="T53"/>
      <c r="U53"/>
      <c r="V53"/>
    </row>
    <row r="54" spans="1:22">
      <c r="A54" s="1">
        <f t="shared" si="2"/>
        <v>53</v>
      </c>
      <c r="B54" s="1">
        <f t="shared" si="3"/>
        <v>120122</v>
      </c>
      <c r="C54" s="3" t="s">
        <v>28</v>
      </c>
      <c r="D54" s="1">
        <f t="shared" ca="1" si="4"/>
        <v>88</v>
      </c>
      <c r="E54" s="1">
        <f t="shared" ca="1" si="5"/>
        <v>95</v>
      </c>
      <c r="F54" s="1">
        <f t="shared" ca="1" si="5"/>
        <v>91</v>
      </c>
      <c r="G54" s="1" t="str">
        <f t="shared" si="7"/>
        <v>Male</v>
      </c>
      <c r="H54" s="5">
        <f t="shared" ca="1" si="6"/>
        <v>0.91333333333333333</v>
      </c>
      <c r="L54" s="11" t="s">
        <v>56</v>
      </c>
      <c r="M54" s="11">
        <v>4.8527074675379694E-8</v>
      </c>
      <c r="N54" s="11"/>
      <c r="O54" s="12" t="s">
        <v>103</v>
      </c>
      <c r="P54" s="12">
        <v>2</v>
      </c>
      <c r="Q54" s="12">
        <v>185</v>
      </c>
      <c r="R54" s="12">
        <v>92.5</v>
      </c>
      <c r="S54" s="12">
        <v>4.5</v>
      </c>
      <c r="T54"/>
      <c r="U54"/>
      <c r="V54"/>
    </row>
    <row r="55" spans="1:22">
      <c r="A55" s="1">
        <f t="shared" si="2"/>
        <v>54</v>
      </c>
      <c r="B55" s="1">
        <f t="shared" si="3"/>
        <v>120123</v>
      </c>
      <c r="C55" s="3" t="s">
        <v>29</v>
      </c>
      <c r="D55" s="1">
        <f t="shared" ca="1" si="4"/>
        <v>100</v>
      </c>
      <c r="E55" s="1">
        <f t="shared" ca="1" si="5"/>
        <v>98</v>
      </c>
      <c r="F55" s="1">
        <f t="shared" ca="1" si="5"/>
        <v>97</v>
      </c>
      <c r="G55" s="1" t="str">
        <f t="shared" si="7"/>
        <v>Female</v>
      </c>
      <c r="H55" s="5">
        <f t="shared" ca="1" si="6"/>
        <v>0.98333333333333328</v>
      </c>
      <c r="L55" s="11" t="s">
        <v>57</v>
      </c>
      <c r="M55" s="11">
        <v>1.6526650592333569</v>
      </c>
      <c r="N55" s="11"/>
      <c r="O55" s="12" t="s">
        <v>104</v>
      </c>
      <c r="P55" s="12">
        <v>2</v>
      </c>
      <c r="Q55" s="12">
        <v>163</v>
      </c>
      <c r="R55" s="12">
        <v>81.5</v>
      </c>
      <c r="S55" s="12">
        <v>40.5</v>
      </c>
      <c r="T55"/>
      <c r="U55"/>
      <c r="V55"/>
    </row>
    <row r="56" spans="1:22">
      <c r="A56" s="1">
        <f t="shared" si="2"/>
        <v>55</v>
      </c>
      <c r="B56" s="1">
        <f t="shared" si="3"/>
        <v>120124</v>
      </c>
      <c r="C56" s="3" t="s">
        <v>30</v>
      </c>
      <c r="D56" s="1">
        <f t="shared" ca="1" si="4"/>
        <v>97</v>
      </c>
      <c r="E56" s="1">
        <f t="shared" ca="1" si="5"/>
        <v>81</v>
      </c>
      <c r="F56" s="1">
        <f t="shared" ca="1" si="5"/>
        <v>88</v>
      </c>
      <c r="G56" s="1" t="str">
        <f t="shared" si="7"/>
        <v>Male</v>
      </c>
      <c r="H56" s="5">
        <f t="shared" ca="1" si="6"/>
        <v>0.88666666666666671</v>
      </c>
      <c r="L56" s="11" t="s">
        <v>58</v>
      </c>
      <c r="M56" s="11">
        <v>9.7054149350759389E-8</v>
      </c>
      <c r="N56" s="11"/>
      <c r="O56" s="12" t="s">
        <v>105</v>
      </c>
      <c r="P56" s="12">
        <v>2</v>
      </c>
      <c r="Q56" s="12">
        <v>178</v>
      </c>
      <c r="R56" s="12">
        <v>89</v>
      </c>
      <c r="S56" s="12">
        <v>18</v>
      </c>
      <c r="T56"/>
      <c r="U56"/>
      <c r="V56"/>
    </row>
    <row r="57" spans="1:22">
      <c r="A57" s="1">
        <f t="shared" si="2"/>
        <v>56</v>
      </c>
      <c r="B57" s="1">
        <f t="shared" si="3"/>
        <v>120125</v>
      </c>
      <c r="C57" s="3" t="s">
        <v>31</v>
      </c>
      <c r="D57" s="1">
        <f t="shared" ca="1" si="4"/>
        <v>89</v>
      </c>
      <c r="E57" s="1">
        <f t="shared" ca="1" si="5"/>
        <v>81</v>
      </c>
      <c r="F57" s="1">
        <f t="shared" ca="1" si="5"/>
        <v>84</v>
      </c>
      <c r="G57" s="1" t="str">
        <f t="shared" si="7"/>
        <v>Female</v>
      </c>
      <c r="H57" s="5">
        <f t="shared" ca="1" si="6"/>
        <v>0.84666666666666668</v>
      </c>
      <c r="L57" s="11" t="s">
        <v>59</v>
      </c>
      <c r="M57" s="11">
        <v>1.9721412216620409</v>
      </c>
      <c r="N57" s="11"/>
      <c r="O57" s="12" t="s">
        <v>106</v>
      </c>
      <c r="P57" s="12">
        <v>2</v>
      </c>
      <c r="Q57" s="12">
        <v>177</v>
      </c>
      <c r="R57" s="12">
        <v>88.5</v>
      </c>
      <c r="S57" s="12">
        <v>220.5</v>
      </c>
      <c r="T57"/>
      <c r="U57"/>
      <c r="V57"/>
    </row>
    <row r="58" spans="1:22">
      <c r="A58" s="1">
        <f t="shared" si="2"/>
        <v>57</v>
      </c>
      <c r="B58" s="1">
        <f t="shared" si="3"/>
        <v>120126</v>
      </c>
      <c r="C58" s="3" t="s">
        <v>32</v>
      </c>
      <c r="D58" s="1">
        <f t="shared" ca="1" si="4"/>
        <v>90</v>
      </c>
      <c r="E58" s="1">
        <f t="shared" ca="1" si="5"/>
        <v>88</v>
      </c>
      <c r="F58" s="1">
        <f t="shared" ca="1" si="5"/>
        <v>96</v>
      </c>
      <c r="G58" s="1" t="str">
        <f t="shared" si="7"/>
        <v>Male</v>
      </c>
      <c r="H58" s="5">
        <f t="shared" ca="1" si="6"/>
        <v>0.91333333333333333</v>
      </c>
      <c r="O58" s="12" t="s">
        <v>107</v>
      </c>
      <c r="P58" s="12">
        <v>2</v>
      </c>
      <c r="Q58" s="12">
        <v>196</v>
      </c>
      <c r="R58" s="12">
        <v>98</v>
      </c>
      <c r="S58" s="12">
        <v>8</v>
      </c>
      <c r="T58"/>
      <c r="U58"/>
      <c r="V58"/>
    </row>
    <row r="59" spans="1:22">
      <c r="A59" s="1">
        <f t="shared" si="2"/>
        <v>58</v>
      </c>
      <c r="B59" s="1">
        <f t="shared" si="3"/>
        <v>120127</v>
      </c>
      <c r="C59" s="3" t="s">
        <v>33</v>
      </c>
      <c r="D59" s="1">
        <f t="shared" ca="1" si="4"/>
        <v>77</v>
      </c>
      <c r="E59" s="1">
        <f t="shared" ca="1" si="5"/>
        <v>99</v>
      </c>
      <c r="F59" s="1">
        <f t="shared" ca="1" si="5"/>
        <v>97</v>
      </c>
      <c r="G59" s="1" t="str">
        <f t="shared" si="7"/>
        <v>Female</v>
      </c>
      <c r="H59" s="5">
        <f t="shared" ca="1" si="6"/>
        <v>0.91</v>
      </c>
      <c r="O59" s="12" t="s">
        <v>108</v>
      </c>
      <c r="P59" s="12">
        <v>2</v>
      </c>
      <c r="Q59" s="12">
        <v>164</v>
      </c>
      <c r="R59" s="12">
        <v>82</v>
      </c>
      <c r="S59" s="12">
        <v>2</v>
      </c>
      <c r="T59"/>
      <c r="U59"/>
      <c r="V59"/>
    </row>
    <row r="60" spans="1:22">
      <c r="A60" s="1">
        <f t="shared" si="2"/>
        <v>59</v>
      </c>
      <c r="B60" s="1">
        <f t="shared" si="3"/>
        <v>120128</v>
      </c>
      <c r="C60" s="3" t="s">
        <v>34</v>
      </c>
      <c r="D60" s="1">
        <f t="shared" ca="1" si="4"/>
        <v>79</v>
      </c>
      <c r="E60" s="1">
        <f t="shared" ca="1" si="5"/>
        <v>79</v>
      </c>
      <c r="F60" s="1">
        <f t="shared" ca="1" si="5"/>
        <v>79</v>
      </c>
      <c r="G60" s="1" t="str">
        <f t="shared" si="7"/>
        <v>Male</v>
      </c>
      <c r="H60" s="5">
        <f t="shared" ca="1" si="6"/>
        <v>0.79</v>
      </c>
      <c r="O60" s="12" t="s">
        <v>109</v>
      </c>
      <c r="P60" s="12">
        <v>2</v>
      </c>
      <c r="Q60" s="12">
        <v>169</v>
      </c>
      <c r="R60" s="12">
        <v>84.5</v>
      </c>
      <c r="S60" s="12">
        <v>84.5</v>
      </c>
      <c r="T60"/>
      <c r="U60"/>
      <c r="V60"/>
    </row>
    <row r="61" spans="1:22">
      <c r="A61" s="1">
        <f t="shared" si="2"/>
        <v>60</v>
      </c>
      <c r="B61" s="1">
        <f t="shared" si="3"/>
        <v>120129</v>
      </c>
      <c r="C61" s="3" t="s">
        <v>35</v>
      </c>
      <c r="D61" s="1">
        <f t="shared" ca="1" si="4"/>
        <v>100</v>
      </c>
      <c r="E61" s="1">
        <f t="shared" ca="1" si="5"/>
        <v>97</v>
      </c>
      <c r="F61" s="1">
        <f t="shared" ca="1" si="5"/>
        <v>92</v>
      </c>
      <c r="G61" s="1" t="str">
        <f t="shared" si="7"/>
        <v>Female</v>
      </c>
      <c r="H61" s="5">
        <f t="shared" ca="1" si="6"/>
        <v>0.96333333333333337</v>
      </c>
      <c r="O61" s="12" t="s">
        <v>110</v>
      </c>
      <c r="P61" s="12">
        <v>2</v>
      </c>
      <c r="Q61" s="12">
        <v>157</v>
      </c>
      <c r="R61" s="12">
        <v>78.5</v>
      </c>
      <c r="S61" s="12">
        <v>24.5</v>
      </c>
      <c r="T61"/>
      <c r="U61"/>
      <c r="V61"/>
    </row>
    <row r="62" spans="1:22">
      <c r="A62" s="1">
        <f t="shared" si="2"/>
        <v>61</v>
      </c>
      <c r="B62" s="1">
        <f t="shared" si="3"/>
        <v>120130</v>
      </c>
      <c r="C62" s="3" t="s">
        <v>6</v>
      </c>
      <c r="D62" s="1">
        <f t="shared" ca="1" si="4"/>
        <v>100</v>
      </c>
      <c r="E62" s="1">
        <f t="shared" ca="1" si="5"/>
        <v>80</v>
      </c>
      <c r="F62" s="1">
        <f t="shared" ca="1" si="5"/>
        <v>99</v>
      </c>
      <c r="G62" s="1" t="str">
        <f t="shared" si="7"/>
        <v>Male</v>
      </c>
      <c r="H62" s="5">
        <f t="shared" ca="1" si="6"/>
        <v>0.93</v>
      </c>
      <c r="O62" s="12" t="s">
        <v>111</v>
      </c>
      <c r="P62" s="12">
        <v>2</v>
      </c>
      <c r="Q62" s="12">
        <v>155</v>
      </c>
      <c r="R62" s="12">
        <v>77.5</v>
      </c>
      <c r="S62" s="12">
        <v>12.5</v>
      </c>
      <c r="T62"/>
      <c r="U62"/>
      <c r="V62"/>
    </row>
    <row r="63" spans="1:22">
      <c r="A63" s="1">
        <f t="shared" si="2"/>
        <v>62</v>
      </c>
      <c r="B63" s="1">
        <f t="shared" si="3"/>
        <v>120131</v>
      </c>
      <c r="C63" s="3" t="s">
        <v>7</v>
      </c>
      <c r="D63" s="1">
        <f t="shared" ca="1" si="4"/>
        <v>97</v>
      </c>
      <c r="E63" s="1">
        <f t="shared" ca="1" si="5"/>
        <v>91</v>
      </c>
      <c r="F63" s="1">
        <f t="shared" ca="1" si="5"/>
        <v>94</v>
      </c>
      <c r="G63" s="1" t="str">
        <f t="shared" si="7"/>
        <v>Female</v>
      </c>
      <c r="H63" s="5">
        <f t="shared" ca="1" si="6"/>
        <v>0.94</v>
      </c>
      <c r="O63" s="12" t="s">
        <v>112</v>
      </c>
      <c r="P63" s="12">
        <v>2</v>
      </c>
      <c r="Q63" s="12">
        <v>172</v>
      </c>
      <c r="R63" s="12">
        <v>86</v>
      </c>
      <c r="S63" s="12">
        <v>98</v>
      </c>
      <c r="T63"/>
      <c r="U63"/>
      <c r="V63"/>
    </row>
    <row r="64" spans="1:22">
      <c r="A64" s="1">
        <f t="shared" si="2"/>
        <v>63</v>
      </c>
      <c r="B64" s="1">
        <f t="shared" si="3"/>
        <v>120132</v>
      </c>
      <c r="C64" s="3" t="s">
        <v>8</v>
      </c>
      <c r="D64" s="1">
        <f t="shared" ca="1" si="4"/>
        <v>91</v>
      </c>
      <c r="E64" s="1">
        <f t="shared" ca="1" si="5"/>
        <v>93</v>
      </c>
      <c r="F64" s="1">
        <f t="shared" ca="1" si="5"/>
        <v>91</v>
      </c>
      <c r="G64" s="1" t="str">
        <f t="shared" si="7"/>
        <v>Male</v>
      </c>
      <c r="H64" s="5">
        <f t="shared" ca="1" si="6"/>
        <v>0.91666666666666663</v>
      </c>
      <c r="O64" s="12" t="s">
        <v>113</v>
      </c>
      <c r="P64" s="12">
        <v>2</v>
      </c>
      <c r="Q64" s="12">
        <v>162</v>
      </c>
      <c r="R64" s="12">
        <v>81</v>
      </c>
      <c r="S64" s="12">
        <v>50</v>
      </c>
      <c r="T64"/>
      <c r="U64"/>
      <c r="V64"/>
    </row>
    <row r="65" spans="1:22">
      <c r="A65" s="1">
        <f t="shared" si="2"/>
        <v>64</v>
      </c>
      <c r="B65" s="1">
        <f t="shared" si="3"/>
        <v>120133</v>
      </c>
      <c r="C65" s="3" t="s">
        <v>9</v>
      </c>
      <c r="D65" s="1">
        <f t="shared" ca="1" si="4"/>
        <v>83</v>
      </c>
      <c r="E65" s="1">
        <f t="shared" ca="1" si="5"/>
        <v>76</v>
      </c>
      <c r="F65" s="1">
        <f t="shared" ca="1" si="5"/>
        <v>83</v>
      </c>
      <c r="G65" s="1" t="str">
        <f t="shared" si="7"/>
        <v>Female</v>
      </c>
      <c r="H65" s="5">
        <f t="shared" ca="1" si="6"/>
        <v>0.80666666666666664</v>
      </c>
      <c r="O65" s="12" t="s">
        <v>114</v>
      </c>
      <c r="P65" s="12">
        <v>2</v>
      </c>
      <c r="Q65" s="12">
        <v>172</v>
      </c>
      <c r="R65" s="12">
        <v>86</v>
      </c>
      <c r="S65" s="12">
        <v>8</v>
      </c>
      <c r="T65"/>
      <c r="U65"/>
      <c r="V65"/>
    </row>
    <row r="66" spans="1:22">
      <c r="A66" s="1">
        <f t="shared" si="2"/>
        <v>65</v>
      </c>
      <c r="B66" s="1">
        <f t="shared" si="3"/>
        <v>120134</v>
      </c>
      <c r="C66" s="3" t="s">
        <v>10</v>
      </c>
      <c r="D66" s="1">
        <f t="shared" ca="1" si="4"/>
        <v>78</v>
      </c>
      <c r="E66" s="1">
        <f t="shared" ca="1" si="5"/>
        <v>79</v>
      </c>
      <c r="F66" s="1">
        <f t="shared" ca="1" si="5"/>
        <v>93</v>
      </c>
      <c r="G66" s="1" t="str">
        <f t="shared" ref="G66:G101" si="8">IF(MOD(B66,2)=0,"Male","Female")</f>
        <v>Male</v>
      </c>
      <c r="H66" s="5">
        <f t="shared" ca="1" si="6"/>
        <v>0.83333333333333337</v>
      </c>
      <c r="O66" s="12" t="s">
        <v>115</v>
      </c>
      <c r="P66" s="12">
        <v>2</v>
      </c>
      <c r="Q66" s="12">
        <v>169</v>
      </c>
      <c r="R66" s="12">
        <v>84.5</v>
      </c>
      <c r="S66" s="12">
        <v>4.5</v>
      </c>
      <c r="T66"/>
      <c r="U66"/>
      <c r="V66"/>
    </row>
    <row r="67" spans="1:22">
      <c r="A67" s="1">
        <f t="shared" si="2"/>
        <v>66</v>
      </c>
      <c r="B67" s="1">
        <f t="shared" si="3"/>
        <v>120135</v>
      </c>
      <c r="C67" s="3" t="s">
        <v>11</v>
      </c>
      <c r="D67" s="1">
        <f t="shared" ca="1" si="4"/>
        <v>99</v>
      </c>
      <c r="E67" s="1">
        <f t="shared" ca="1" si="5"/>
        <v>82</v>
      </c>
      <c r="F67" s="1">
        <f t="shared" ca="1" si="5"/>
        <v>79</v>
      </c>
      <c r="G67" s="1" t="str">
        <f t="shared" si="8"/>
        <v>Female</v>
      </c>
      <c r="H67" s="5">
        <f t="shared" ca="1" si="6"/>
        <v>0.8666666666666667</v>
      </c>
      <c r="O67" s="12" t="s">
        <v>116</v>
      </c>
      <c r="P67" s="12">
        <v>2</v>
      </c>
      <c r="Q67" s="12">
        <v>170</v>
      </c>
      <c r="R67" s="12">
        <v>85</v>
      </c>
      <c r="S67" s="12">
        <v>0</v>
      </c>
      <c r="T67"/>
      <c r="U67"/>
      <c r="V67"/>
    </row>
    <row r="68" spans="1:22">
      <c r="A68" s="1">
        <f t="shared" si="2"/>
        <v>67</v>
      </c>
      <c r="B68" s="1">
        <f t="shared" si="3"/>
        <v>120136</v>
      </c>
      <c r="C68" s="3" t="s">
        <v>12</v>
      </c>
      <c r="D68" s="1">
        <f t="shared" ca="1" si="4"/>
        <v>81</v>
      </c>
      <c r="E68" s="1">
        <f t="shared" ca="1" si="5"/>
        <v>97</v>
      </c>
      <c r="F68" s="1">
        <f t="shared" ca="1" si="5"/>
        <v>99</v>
      </c>
      <c r="G68" s="1" t="str">
        <f t="shared" si="8"/>
        <v>Male</v>
      </c>
      <c r="H68" s="5">
        <f t="shared" ca="1" si="6"/>
        <v>0.92333333333333334</v>
      </c>
      <c r="O68" s="12" t="s">
        <v>117</v>
      </c>
      <c r="P68" s="12">
        <v>2</v>
      </c>
      <c r="Q68" s="12">
        <v>169</v>
      </c>
      <c r="R68" s="12">
        <v>84.5</v>
      </c>
      <c r="S68" s="12">
        <v>12.5</v>
      </c>
      <c r="T68"/>
      <c r="U68"/>
      <c r="V68"/>
    </row>
    <row r="69" spans="1:22">
      <c r="A69" s="1">
        <f t="shared" si="2"/>
        <v>68</v>
      </c>
      <c r="B69" s="1">
        <f t="shared" si="3"/>
        <v>120137</v>
      </c>
      <c r="C69" s="3" t="s">
        <v>13</v>
      </c>
      <c r="D69" s="1">
        <f t="shared" ca="1" si="4"/>
        <v>90</v>
      </c>
      <c r="E69" s="1">
        <f t="shared" ca="1" si="5"/>
        <v>100</v>
      </c>
      <c r="F69" s="1">
        <f t="shared" ca="1" si="5"/>
        <v>82</v>
      </c>
      <c r="G69" s="1" t="str">
        <f t="shared" si="8"/>
        <v>Female</v>
      </c>
      <c r="H69" s="5">
        <f t="shared" ca="1" si="6"/>
        <v>0.90666666666666662</v>
      </c>
      <c r="O69" s="12" t="s">
        <v>118</v>
      </c>
      <c r="P69" s="12">
        <v>2</v>
      </c>
      <c r="Q69" s="12">
        <v>192</v>
      </c>
      <c r="R69" s="12">
        <v>96</v>
      </c>
      <c r="S69" s="12">
        <v>2</v>
      </c>
      <c r="T69"/>
      <c r="U69"/>
      <c r="V69"/>
    </row>
    <row r="70" spans="1:22">
      <c r="A70" s="1">
        <f t="shared" ref="A70:A101" si="9">A69+1</f>
        <v>69</v>
      </c>
      <c r="B70" s="1">
        <f t="shared" si="3"/>
        <v>120138</v>
      </c>
      <c r="C70" s="3" t="s">
        <v>14</v>
      </c>
      <c r="D70" s="1">
        <f t="shared" ca="1" si="4"/>
        <v>93</v>
      </c>
      <c r="E70" s="1">
        <f t="shared" ca="1" si="5"/>
        <v>80</v>
      </c>
      <c r="F70" s="1">
        <f t="shared" ca="1" si="5"/>
        <v>83</v>
      </c>
      <c r="G70" s="1" t="str">
        <f t="shared" si="8"/>
        <v>Male</v>
      </c>
      <c r="H70" s="5">
        <f t="shared" ca="1" si="6"/>
        <v>0.85333333333333339</v>
      </c>
      <c r="O70" s="12" t="s">
        <v>119</v>
      </c>
      <c r="P70" s="12">
        <v>2</v>
      </c>
      <c r="Q70" s="12">
        <v>165</v>
      </c>
      <c r="R70" s="12">
        <v>82.5</v>
      </c>
      <c r="S70" s="12">
        <v>4.5</v>
      </c>
      <c r="T70"/>
      <c r="U70"/>
      <c r="V70"/>
    </row>
    <row r="71" spans="1:22">
      <c r="A71" s="1">
        <f t="shared" si="9"/>
        <v>70</v>
      </c>
      <c r="B71" s="1">
        <f t="shared" si="3"/>
        <v>120139</v>
      </c>
      <c r="C71" s="3" t="s">
        <v>15</v>
      </c>
      <c r="D71" s="1">
        <f t="shared" ca="1" si="4"/>
        <v>100</v>
      </c>
      <c r="E71" s="1">
        <f t="shared" ca="1" si="5"/>
        <v>89</v>
      </c>
      <c r="F71" s="1">
        <f t="shared" ca="1" si="5"/>
        <v>79</v>
      </c>
      <c r="G71" s="1" t="str">
        <f t="shared" si="8"/>
        <v>Female</v>
      </c>
      <c r="H71" s="5">
        <f t="shared" ca="1" si="6"/>
        <v>0.89333333333333331</v>
      </c>
      <c r="O71" s="12" t="s">
        <v>120</v>
      </c>
      <c r="P71" s="12">
        <v>2</v>
      </c>
      <c r="Q71" s="12">
        <v>152</v>
      </c>
      <c r="R71" s="12">
        <v>76</v>
      </c>
      <c r="S71" s="12">
        <v>0</v>
      </c>
      <c r="T71"/>
      <c r="U71"/>
      <c r="V71"/>
    </row>
    <row r="72" spans="1:22">
      <c r="A72" s="1">
        <f t="shared" si="9"/>
        <v>71</v>
      </c>
      <c r="B72" s="1">
        <f t="shared" si="3"/>
        <v>120140</v>
      </c>
      <c r="C72" s="3" t="s">
        <v>16</v>
      </c>
      <c r="D72" s="1">
        <f t="shared" ca="1" si="4"/>
        <v>82</v>
      </c>
      <c r="E72" s="1">
        <f t="shared" ca="1" si="5"/>
        <v>76</v>
      </c>
      <c r="F72" s="1">
        <f t="shared" ca="1" si="5"/>
        <v>91</v>
      </c>
      <c r="G72" s="1" t="str">
        <f t="shared" si="8"/>
        <v>Male</v>
      </c>
      <c r="H72" s="5">
        <f t="shared" ca="1" si="6"/>
        <v>0.83</v>
      </c>
      <c r="O72" s="12" t="s">
        <v>121</v>
      </c>
      <c r="P72" s="12">
        <v>2</v>
      </c>
      <c r="Q72" s="12">
        <v>176</v>
      </c>
      <c r="R72" s="12">
        <v>88</v>
      </c>
      <c r="S72" s="12">
        <v>8</v>
      </c>
      <c r="T72"/>
      <c r="U72"/>
      <c r="V72"/>
    </row>
    <row r="73" spans="1:22">
      <c r="A73" s="1">
        <f t="shared" si="9"/>
        <v>72</v>
      </c>
      <c r="B73" s="1">
        <f t="shared" si="3"/>
        <v>120141</v>
      </c>
      <c r="C73" s="3" t="s">
        <v>17</v>
      </c>
      <c r="D73" s="1">
        <f t="shared" ca="1" si="4"/>
        <v>71</v>
      </c>
      <c r="E73" s="1">
        <f t="shared" ca="1" si="5"/>
        <v>75</v>
      </c>
      <c r="F73" s="1">
        <f t="shared" ca="1" si="5"/>
        <v>82</v>
      </c>
      <c r="G73" s="1" t="str">
        <f t="shared" si="8"/>
        <v>Female</v>
      </c>
      <c r="H73" s="5">
        <f t="shared" ca="1" si="6"/>
        <v>0.76</v>
      </c>
      <c r="O73" s="12" t="s">
        <v>122</v>
      </c>
      <c r="P73" s="12">
        <v>2</v>
      </c>
      <c r="Q73" s="12">
        <v>155</v>
      </c>
      <c r="R73" s="12">
        <v>77.5</v>
      </c>
      <c r="S73" s="12">
        <v>12.5</v>
      </c>
      <c r="T73"/>
      <c r="U73"/>
      <c r="V73"/>
    </row>
    <row r="74" spans="1:22">
      <c r="A74" s="1">
        <f t="shared" si="9"/>
        <v>73</v>
      </c>
      <c r="B74" s="1">
        <f t="shared" si="3"/>
        <v>120142</v>
      </c>
      <c r="C74" s="3" t="s">
        <v>18</v>
      </c>
      <c r="D74" s="1">
        <f t="shared" ca="1" si="4"/>
        <v>84</v>
      </c>
      <c r="E74" s="1">
        <f t="shared" ca="1" si="5"/>
        <v>92</v>
      </c>
      <c r="F74" s="1">
        <f t="shared" ca="1" si="5"/>
        <v>99</v>
      </c>
      <c r="G74" s="1" t="str">
        <f t="shared" si="8"/>
        <v>Male</v>
      </c>
      <c r="H74" s="5">
        <f t="shared" ca="1" si="6"/>
        <v>0.91666666666666663</v>
      </c>
      <c r="O74" s="12" t="s">
        <v>123</v>
      </c>
      <c r="P74" s="12">
        <v>2</v>
      </c>
      <c r="Q74" s="12">
        <v>170</v>
      </c>
      <c r="R74" s="12">
        <v>85</v>
      </c>
      <c r="S74" s="12">
        <v>50</v>
      </c>
      <c r="T74"/>
      <c r="U74"/>
      <c r="V74"/>
    </row>
    <row r="75" spans="1:22">
      <c r="A75" s="1">
        <f t="shared" si="9"/>
        <v>74</v>
      </c>
      <c r="B75" s="1">
        <f t="shared" si="3"/>
        <v>120143</v>
      </c>
      <c r="C75" s="3" t="s">
        <v>19</v>
      </c>
      <c r="D75" s="1">
        <f t="shared" ca="1" si="4"/>
        <v>91</v>
      </c>
      <c r="E75" s="1">
        <f t="shared" ca="1" si="5"/>
        <v>96</v>
      </c>
      <c r="F75" s="1">
        <f t="shared" ca="1" si="5"/>
        <v>87</v>
      </c>
      <c r="G75" s="1" t="str">
        <f t="shared" si="8"/>
        <v>Female</v>
      </c>
      <c r="H75" s="5">
        <f t="shared" ca="1" si="6"/>
        <v>0.91333333333333333</v>
      </c>
      <c r="O75" s="12" t="s">
        <v>124</v>
      </c>
      <c r="P75" s="12">
        <v>2</v>
      </c>
      <c r="Q75" s="12">
        <v>172</v>
      </c>
      <c r="R75" s="12">
        <v>86</v>
      </c>
      <c r="S75" s="12">
        <v>200</v>
      </c>
      <c r="T75"/>
      <c r="U75"/>
      <c r="V75"/>
    </row>
    <row r="76" spans="1:22">
      <c r="A76" s="1">
        <f t="shared" si="9"/>
        <v>75</v>
      </c>
      <c r="B76" s="1">
        <f t="shared" si="3"/>
        <v>120144</v>
      </c>
      <c r="C76" s="3" t="s">
        <v>20</v>
      </c>
      <c r="D76" s="1">
        <f t="shared" ca="1" si="4"/>
        <v>96</v>
      </c>
      <c r="E76" s="1">
        <f t="shared" ca="1" si="5"/>
        <v>85</v>
      </c>
      <c r="F76" s="1">
        <f t="shared" ca="1" si="5"/>
        <v>83</v>
      </c>
      <c r="G76" s="1" t="str">
        <f t="shared" si="8"/>
        <v>Male</v>
      </c>
      <c r="H76" s="5">
        <f t="shared" ca="1" si="6"/>
        <v>0.88</v>
      </c>
      <c r="O76" s="12" t="s">
        <v>125</v>
      </c>
      <c r="P76" s="12">
        <v>2</v>
      </c>
      <c r="Q76" s="12">
        <v>174</v>
      </c>
      <c r="R76" s="12">
        <v>87</v>
      </c>
      <c r="S76" s="12">
        <v>288</v>
      </c>
      <c r="T76"/>
      <c r="U76"/>
      <c r="V76"/>
    </row>
    <row r="77" spans="1:22">
      <c r="A77" s="1">
        <f t="shared" si="9"/>
        <v>76</v>
      </c>
      <c r="B77" s="1">
        <f t="shared" si="3"/>
        <v>120145</v>
      </c>
      <c r="C77" s="3" t="s">
        <v>21</v>
      </c>
      <c r="D77" s="1">
        <f t="shared" ca="1" si="4"/>
        <v>99</v>
      </c>
      <c r="E77" s="1">
        <f t="shared" ca="1" si="5"/>
        <v>91</v>
      </c>
      <c r="F77" s="1">
        <f t="shared" ca="1" si="5"/>
        <v>77</v>
      </c>
      <c r="G77" s="1" t="str">
        <f t="shared" si="8"/>
        <v>Female</v>
      </c>
      <c r="H77" s="5">
        <f t="shared" ca="1" si="6"/>
        <v>0.89</v>
      </c>
      <c r="O77" s="12" t="s">
        <v>126</v>
      </c>
      <c r="P77" s="12">
        <v>2</v>
      </c>
      <c r="Q77" s="12">
        <v>185</v>
      </c>
      <c r="R77" s="12">
        <v>92.5</v>
      </c>
      <c r="S77" s="12">
        <v>4.5</v>
      </c>
      <c r="T77"/>
      <c r="U77"/>
      <c r="V77"/>
    </row>
    <row r="78" spans="1:22">
      <c r="A78" s="1">
        <f t="shared" si="9"/>
        <v>77</v>
      </c>
      <c r="B78" s="1">
        <f t="shared" si="3"/>
        <v>120146</v>
      </c>
      <c r="C78" s="3" t="s">
        <v>22</v>
      </c>
      <c r="D78" s="1">
        <f t="shared" ca="1" si="4"/>
        <v>76</v>
      </c>
      <c r="E78" s="1">
        <f t="shared" ca="1" si="5"/>
        <v>80</v>
      </c>
      <c r="F78" s="1">
        <f t="shared" ca="1" si="5"/>
        <v>85</v>
      </c>
      <c r="G78" s="1" t="str">
        <f t="shared" si="8"/>
        <v>Male</v>
      </c>
      <c r="H78" s="5">
        <f t="shared" ca="1" si="6"/>
        <v>0.80333333333333334</v>
      </c>
      <c r="O78" s="12" t="s">
        <v>127</v>
      </c>
      <c r="P78" s="12">
        <v>2</v>
      </c>
      <c r="Q78" s="12">
        <v>186</v>
      </c>
      <c r="R78" s="12">
        <v>93</v>
      </c>
      <c r="S78" s="12">
        <v>50</v>
      </c>
      <c r="T78"/>
      <c r="U78"/>
      <c r="V78"/>
    </row>
    <row r="79" spans="1:22">
      <c r="A79" s="1">
        <f t="shared" si="9"/>
        <v>78</v>
      </c>
      <c r="B79" s="1">
        <f t="shared" si="3"/>
        <v>120147</v>
      </c>
      <c r="C79" s="3" t="s">
        <v>23</v>
      </c>
      <c r="D79" s="1">
        <f t="shared" ca="1" si="4"/>
        <v>96</v>
      </c>
      <c r="E79" s="1">
        <f t="shared" ca="1" si="5"/>
        <v>81</v>
      </c>
      <c r="F79" s="1">
        <f t="shared" ca="1" si="5"/>
        <v>98</v>
      </c>
      <c r="G79" s="1" t="str">
        <f t="shared" si="8"/>
        <v>Female</v>
      </c>
      <c r="H79" s="5">
        <f t="shared" ca="1" si="6"/>
        <v>0.91666666666666663</v>
      </c>
      <c r="O79" s="12" t="s">
        <v>128</v>
      </c>
      <c r="P79" s="12">
        <v>2</v>
      </c>
      <c r="Q79" s="12">
        <v>160</v>
      </c>
      <c r="R79" s="12">
        <v>80</v>
      </c>
      <c r="S79" s="12">
        <v>18</v>
      </c>
      <c r="T79"/>
      <c r="U79"/>
      <c r="V79"/>
    </row>
    <row r="80" spans="1:22">
      <c r="A80" s="1">
        <f t="shared" si="9"/>
        <v>79</v>
      </c>
      <c r="B80" s="1">
        <f t="shared" si="3"/>
        <v>120148</v>
      </c>
      <c r="C80" s="3" t="s">
        <v>24</v>
      </c>
      <c r="D80" s="1">
        <f t="shared" ca="1" si="4"/>
        <v>89</v>
      </c>
      <c r="E80" s="1">
        <f t="shared" ca="1" si="5"/>
        <v>84</v>
      </c>
      <c r="F80" s="1">
        <f t="shared" ca="1" si="5"/>
        <v>93</v>
      </c>
      <c r="G80" s="1" t="str">
        <f t="shared" si="8"/>
        <v>Male</v>
      </c>
      <c r="H80" s="5">
        <f t="shared" ca="1" si="6"/>
        <v>0.88666666666666671</v>
      </c>
      <c r="O80" s="12" t="s">
        <v>129</v>
      </c>
      <c r="P80" s="12">
        <v>2</v>
      </c>
      <c r="Q80" s="12">
        <v>179</v>
      </c>
      <c r="R80" s="12">
        <v>89.5</v>
      </c>
      <c r="S80" s="12">
        <v>220.5</v>
      </c>
      <c r="T80"/>
      <c r="U80"/>
      <c r="V80"/>
    </row>
    <row r="81" spans="1:22">
      <c r="A81" s="1">
        <f t="shared" si="9"/>
        <v>80</v>
      </c>
      <c r="B81" s="1">
        <f t="shared" si="3"/>
        <v>120149</v>
      </c>
      <c r="C81" s="3" t="s">
        <v>25</v>
      </c>
      <c r="D81" s="1">
        <f t="shared" ca="1" si="4"/>
        <v>88</v>
      </c>
      <c r="E81" s="1">
        <f t="shared" ca="1" si="5"/>
        <v>77</v>
      </c>
      <c r="F81" s="1">
        <f t="shared" ca="1" si="5"/>
        <v>84</v>
      </c>
      <c r="G81" s="1" t="str">
        <f t="shared" si="8"/>
        <v>Female</v>
      </c>
      <c r="H81" s="5">
        <f t="shared" ca="1" si="6"/>
        <v>0.83</v>
      </c>
      <c r="O81" s="12" t="s">
        <v>130</v>
      </c>
      <c r="P81" s="12">
        <v>2</v>
      </c>
      <c r="Q81" s="12">
        <v>174</v>
      </c>
      <c r="R81" s="12">
        <v>87</v>
      </c>
      <c r="S81" s="12">
        <v>2</v>
      </c>
      <c r="T81"/>
      <c r="U81"/>
      <c r="V81"/>
    </row>
    <row r="82" spans="1:22">
      <c r="A82" s="1">
        <f t="shared" si="9"/>
        <v>81</v>
      </c>
      <c r="B82" s="1">
        <f t="shared" si="3"/>
        <v>120150</v>
      </c>
      <c r="C82" s="3" t="s">
        <v>26</v>
      </c>
      <c r="D82" s="1">
        <f t="shared" ca="1" si="4"/>
        <v>91</v>
      </c>
      <c r="E82" s="1">
        <f t="shared" ca="1" si="5"/>
        <v>95</v>
      </c>
      <c r="F82" s="1">
        <f t="shared" ca="1" si="5"/>
        <v>90</v>
      </c>
      <c r="G82" s="1" t="str">
        <f t="shared" si="8"/>
        <v>Male</v>
      </c>
      <c r="H82" s="5">
        <f t="shared" ca="1" si="6"/>
        <v>0.92</v>
      </c>
      <c r="O82" s="12" t="s">
        <v>131</v>
      </c>
      <c r="P82" s="12">
        <v>2</v>
      </c>
      <c r="Q82" s="12">
        <v>173</v>
      </c>
      <c r="R82" s="12">
        <v>86.5</v>
      </c>
      <c r="S82" s="12">
        <v>264.5</v>
      </c>
      <c r="T82"/>
      <c r="U82"/>
      <c r="V82"/>
    </row>
    <row r="83" spans="1:22">
      <c r="A83" s="1">
        <f t="shared" si="9"/>
        <v>82</v>
      </c>
      <c r="B83" s="1">
        <f t="shared" si="3"/>
        <v>120151</v>
      </c>
      <c r="C83" s="3" t="s">
        <v>27</v>
      </c>
      <c r="D83" s="1">
        <f t="shared" ca="1" si="4"/>
        <v>82</v>
      </c>
      <c r="E83" s="1">
        <f t="shared" ca="1" si="5"/>
        <v>88</v>
      </c>
      <c r="F83" s="1">
        <f t="shared" ca="1" si="5"/>
        <v>81</v>
      </c>
      <c r="G83" s="1" t="str">
        <f t="shared" si="8"/>
        <v>Female</v>
      </c>
      <c r="H83" s="5">
        <f t="shared" ca="1" si="6"/>
        <v>0.83666666666666667</v>
      </c>
      <c r="O83" s="12" t="s">
        <v>132</v>
      </c>
      <c r="P83" s="12">
        <v>2</v>
      </c>
      <c r="Q83" s="12">
        <v>179</v>
      </c>
      <c r="R83" s="12">
        <v>89.5</v>
      </c>
      <c r="S83" s="12">
        <v>112.5</v>
      </c>
      <c r="T83"/>
      <c r="U83"/>
      <c r="V83"/>
    </row>
    <row r="84" spans="1:22">
      <c r="A84" s="1">
        <f t="shared" si="9"/>
        <v>83</v>
      </c>
      <c r="B84" s="1">
        <f t="shared" si="3"/>
        <v>120152</v>
      </c>
      <c r="C84" s="3" t="s">
        <v>28</v>
      </c>
      <c r="D84" s="1">
        <f t="shared" ca="1" si="4"/>
        <v>76</v>
      </c>
      <c r="E84" s="1">
        <f t="shared" ca="1" si="5"/>
        <v>83</v>
      </c>
      <c r="F84" s="1">
        <f t="shared" ca="1" si="5"/>
        <v>84</v>
      </c>
      <c r="G84" s="1" t="str">
        <f t="shared" si="8"/>
        <v>Male</v>
      </c>
      <c r="H84" s="5">
        <f t="shared" ca="1" si="6"/>
        <v>0.81</v>
      </c>
      <c r="O84" s="12" t="s">
        <v>133</v>
      </c>
      <c r="P84" s="12">
        <v>2</v>
      </c>
      <c r="Q84" s="12">
        <v>166</v>
      </c>
      <c r="R84" s="12">
        <v>83</v>
      </c>
      <c r="S84" s="12">
        <v>2</v>
      </c>
      <c r="T84"/>
      <c r="U84"/>
      <c r="V84"/>
    </row>
    <row r="85" spans="1:22">
      <c r="A85" s="1">
        <f t="shared" si="9"/>
        <v>84</v>
      </c>
      <c r="B85" s="1">
        <f t="shared" si="3"/>
        <v>120153</v>
      </c>
      <c r="C85" s="3" t="s">
        <v>29</v>
      </c>
      <c r="D85" s="1">
        <f t="shared" ca="1" si="4"/>
        <v>78</v>
      </c>
      <c r="E85" s="1">
        <f t="shared" ca="1" si="5"/>
        <v>94</v>
      </c>
      <c r="F85" s="1">
        <f t="shared" ca="1" si="5"/>
        <v>96</v>
      </c>
      <c r="G85" s="1" t="str">
        <f t="shared" si="8"/>
        <v>Female</v>
      </c>
      <c r="H85" s="5">
        <f t="shared" ca="1" si="6"/>
        <v>0.89333333333333331</v>
      </c>
      <c r="O85" s="12" t="s">
        <v>134</v>
      </c>
      <c r="P85" s="12">
        <v>2</v>
      </c>
      <c r="Q85" s="12">
        <v>181</v>
      </c>
      <c r="R85" s="12">
        <v>90.5</v>
      </c>
      <c r="S85" s="12">
        <v>112.5</v>
      </c>
      <c r="T85"/>
      <c r="U85"/>
      <c r="V85"/>
    </row>
    <row r="86" spans="1:22">
      <c r="A86" s="1">
        <f t="shared" si="9"/>
        <v>85</v>
      </c>
      <c r="B86" s="1">
        <f t="shared" si="3"/>
        <v>120154</v>
      </c>
      <c r="C86" s="3" t="s">
        <v>30</v>
      </c>
      <c r="D86" s="1">
        <f t="shared" ca="1" si="4"/>
        <v>70</v>
      </c>
      <c r="E86" s="1">
        <f t="shared" ca="1" si="5"/>
        <v>88</v>
      </c>
      <c r="F86" s="1">
        <f t="shared" ca="1" si="5"/>
        <v>89</v>
      </c>
      <c r="G86" s="1" t="str">
        <f t="shared" si="8"/>
        <v>Male</v>
      </c>
      <c r="H86" s="5">
        <f t="shared" ca="1" si="6"/>
        <v>0.82333333333333336</v>
      </c>
      <c r="O86" s="12" t="s">
        <v>135</v>
      </c>
      <c r="P86" s="12">
        <v>2</v>
      </c>
      <c r="Q86" s="12">
        <v>164</v>
      </c>
      <c r="R86" s="12">
        <v>82</v>
      </c>
      <c r="S86" s="12">
        <v>2</v>
      </c>
      <c r="T86"/>
      <c r="U86"/>
      <c r="V86"/>
    </row>
    <row r="87" spans="1:22">
      <c r="A87" s="1">
        <f t="shared" si="9"/>
        <v>86</v>
      </c>
      <c r="B87" s="1">
        <f t="shared" si="3"/>
        <v>120155</v>
      </c>
      <c r="C87" s="3" t="s">
        <v>31</v>
      </c>
      <c r="D87" s="1">
        <f t="shared" ca="1" si="4"/>
        <v>85</v>
      </c>
      <c r="E87" s="1">
        <f t="shared" ca="1" si="5"/>
        <v>93</v>
      </c>
      <c r="F87" s="1">
        <f t="shared" ca="1" si="5"/>
        <v>79</v>
      </c>
      <c r="G87" s="1" t="str">
        <f t="shared" si="8"/>
        <v>Female</v>
      </c>
      <c r="H87" s="5">
        <f t="shared" ca="1" si="6"/>
        <v>0.85666666666666669</v>
      </c>
      <c r="O87" s="12" t="s">
        <v>136</v>
      </c>
      <c r="P87" s="12">
        <v>2</v>
      </c>
      <c r="Q87" s="12">
        <v>168</v>
      </c>
      <c r="R87" s="12">
        <v>84</v>
      </c>
      <c r="S87" s="12">
        <v>98</v>
      </c>
      <c r="T87"/>
      <c r="U87"/>
      <c r="V87"/>
    </row>
    <row r="88" spans="1:22">
      <c r="A88" s="1">
        <f t="shared" si="9"/>
        <v>87</v>
      </c>
      <c r="B88" s="1">
        <f t="shared" si="3"/>
        <v>120156</v>
      </c>
      <c r="C88" s="3" t="s">
        <v>32</v>
      </c>
      <c r="D88" s="1">
        <f t="shared" ca="1" si="4"/>
        <v>88</v>
      </c>
      <c r="E88" s="1">
        <f t="shared" ca="1" si="5"/>
        <v>89</v>
      </c>
      <c r="F88" s="1">
        <f t="shared" ca="1" si="5"/>
        <v>100</v>
      </c>
      <c r="G88" s="1" t="str">
        <f t="shared" si="8"/>
        <v>Male</v>
      </c>
      <c r="H88" s="5">
        <f t="shared" ca="1" si="6"/>
        <v>0.92333333333333334</v>
      </c>
      <c r="O88" s="12" t="s">
        <v>137</v>
      </c>
      <c r="P88" s="12">
        <v>2</v>
      </c>
      <c r="Q88" s="12">
        <v>177</v>
      </c>
      <c r="R88" s="12">
        <v>88.5</v>
      </c>
      <c r="S88" s="12">
        <v>24.5</v>
      </c>
      <c r="T88"/>
      <c r="U88"/>
      <c r="V88"/>
    </row>
    <row r="89" spans="1:22">
      <c r="A89" s="1">
        <f t="shared" si="9"/>
        <v>88</v>
      </c>
      <c r="B89" s="1">
        <f t="shared" si="3"/>
        <v>120157</v>
      </c>
      <c r="C89" s="3" t="s">
        <v>33</v>
      </c>
      <c r="D89" s="1">
        <f t="shared" ca="1" si="4"/>
        <v>83</v>
      </c>
      <c r="E89" s="1">
        <f t="shared" ca="1" si="5"/>
        <v>88</v>
      </c>
      <c r="F89" s="1">
        <f t="shared" ca="1" si="5"/>
        <v>98</v>
      </c>
      <c r="G89" s="1" t="str">
        <f t="shared" si="8"/>
        <v>Female</v>
      </c>
      <c r="H89" s="5">
        <f t="shared" ca="1" si="6"/>
        <v>0.89666666666666661</v>
      </c>
      <c r="O89" s="12" t="s">
        <v>138</v>
      </c>
      <c r="P89" s="12">
        <v>2</v>
      </c>
      <c r="Q89" s="12">
        <v>177</v>
      </c>
      <c r="R89" s="12">
        <v>88.5</v>
      </c>
      <c r="S89" s="12">
        <v>40.5</v>
      </c>
      <c r="T89"/>
      <c r="U89"/>
      <c r="V89"/>
    </row>
    <row r="90" spans="1:22">
      <c r="A90" s="1">
        <f t="shared" si="9"/>
        <v>89</v>
      </c>
      <c r="B90" s="1">
        <f t="shared" si="3"/>
        <v>120158</v>
      </c>
      <c r="C90" s="3" t="s">
        <v>34</v>
      </c>
      <c r="D90" s="1">
        <f t="shared" ca="1" si="4"/>
        <v>77</v>
      </c>
      <c r="E90" s="1">
        <f t="shared" ca="1" si="5"/>
        <v>96</v>
      </c>
      <c r="F90" s="1">
        <f t="shared" ca="1" si="5"/>
        <v>79</v>
      </c>
      <c r="G90" s="1" t="str">
        <f t="shared" si="8"/>
        <v>Male</v>
      </c>
      <c r="H90" s="5">
        <f t="shared" ca="1" si="6"/>
        <v>0.84</v>
      </c>
      <c r="O90" s="12" t="s">
        <v>139</v>
      </c>
      <c r="P90" s="12">
        <v>2</v>
      </c>
      <c r="Q90" s="12">
        <v>165</v>
      </c>
      <c r="R90" s="12">
        <v>82.5</v>
      </c>
      <c r="S90" s="12">
        <v>4.5</v>
      </c>
      <c r="T90"/>
      <c r="U90"/>
      <c r="V90"/>
    </row>
    <row r="91" spans="1:22">
      <c r="A91" s="1">
        <f t="shared" si="9"/>
        <v>90</v>
      </c>
      <c r="B91" s="1">
        <f t="shared" si="3"/>
        <v>120159</v>
      </c>
      <c r="C91" s="3" t="s">
        <v>35</v>
      </c>
      <c r="D91" s="1">
        <f t="shared" ca="1" si="4"/>
        <v>85</v>
      </c>
      <c r="E91" s="1">
        <f t="shared" ca="1" si="5"/>
        <v>87</v>
      </c>
      <c r="F91" s="1">
        <f t="shared" ca="1" si="5"/>
        <v>98</v>
      </c>
      <c r="G91" s="1" t="str">
        <f t="shared" si="8"/>
        <v>Female</v>
      </c>
      <c r="H91" s="5">
        <f t="shared" ca="1" si="6"/>
        <v>0.9</v>
      </c>
      <c r="O91" s="12" t="s">
        <v>140</v>
      </c>
      <c r="P91" s="12">
        <v>2</v>
      </c>
      <c r="Q91" s="12">
        <v>165</v>
      </c>
      <c r="R91" s="12">
        <v>82.5</v>
      </c>
      <c r="S91" s="12">
        <v>84.5</v>
      </c>
      <c r="T91"/>
      <c r="U91"/>
      <c r="V91"/>
    </row>
    <row r="92" spans="1:22">
      <c r="A92" s="1">
        <f t="shared" si="9"/>
        <v>91</v>
      </c>
      <c r="B92" s="1">
        <f t="shared" si="3"/>
        <v>120160</v>
      </c>
      <c r="C92" s="3" t="s">
        <v>26</v>
      </c>
      <c r="D92" s="1">
        <f t="shared" ca="1" si="4"/>
        <v>100</v>
      </c>
      <c r="E92" s="1">
        <f t="shared" ca="1" si="5"/>
        <v>94</v>
      </c>
      <c r="F92" s="1">
        <f t="shared" ca="1" si="5"/>
        <v>85</v>
      </c>
      <c r="G92" s="1" t="str">
        <f t="shared" si="8"/>
        <v>Male</v>
      </c>
      <c r="H92" s="5">
        <f t="shared" ca="1" si="6"/>
        <v>0.93</v>
      </c>
      <c r="O92" s="12" t="s">
        <v>141</v>
      </c>
      <c r="P92" s="12">
        <v>2</v>
      </c>
      <c r="Q92" s="12">
        <v>174</v>
      </c>
      <c r="R92" s="12">
        <v>87</v>
      </c>
      <c r="S92" s="12">
        <v>50</v>
      </c>
      <c r="T92"/>
      <c r="U92"/>
      <c r="V92"/>
    </row>
    <row r="93" spans="1:22">
      <c r="A93" s="1">
        <f t="shared" si="9"/>
        <v>92</v>
      </c>
      <c r="B93" s="1">
        <f t="shared" si="3"/>
        <v>120161</v>
      </c>
      <c r="C93" s="3" t="s">
        <v>27</v>
      </c>
      <c r="D93" s="1">
        <f t="shared" ca="1" si="4"/>
        <v>92</v>
      </c>
      <c r="E93" s="1">
        <f t="shared" ca="1" si="5"/>
        <v>91</v>
      </c>
      <c r="F93" s="1">
        <f t="shared" ca="1" si="5"/>
        <v>76</v>
      </c>
      <c r="G93" s="1" t="str">
        <f t="shared" si="8"/>
        <v>Female</v>
      </c>
      <c r="H93" s="5">
        <f t="shared" ca="1" si="6"/>
        <v>0.86333333333333329</v>
      </c>
      <c r="O93" s="12" t="s">
        <v>142</v>
      </c>
      <c r="P93" s="12">
        <v>2</v>
      </c>
      <c r="Q93" s="12">
        <v>195</v>
      </c>
      <c r="R93" s="12">
        <v>97.5</v>
      </c>
      <c r="S93" s="12">
        <v>4.5</v>
      </c>
      <c r="T93"/>
      <c r="U93"/>
      <c r="V93"/>
    </row>
    <row r="94" spans="1:22">
      <c r="A94" s="1">
        <f t="shared" si="9"/>
        <v>93</v>
      </c>
      <c r="B94" s="1">
        <f t="shared" si="3"/>
        <v>120162</v>
      </c>
      <c r="C94" s="3" t="s">
        <v>28</v>
      </c>
      <c r="D94" s="1">
        <f t="shared" ca="1" si="4"/>
        <v>81</v>
      </c>
      <c r="E94" s="1">
        <f t="shared" ca="1" si="5"/>
        <v>96</v>
      </c>
      <c r="F94" s="1">
        <f t="shared" ca="1" si="5"/>
        <v>97</v>
      </c>
      <c r="G94" s="1" t="str">
        <f t="shared" si="8"/>
        <v>Male</v>
      </c>
      <c r="H94" s="5">
        <f t="shared" ca="1" si="6"/>
        <v>0.91333333333333333</v>
      </c>
      <c r="O94" s="12" t="s">
        <v>143</v>
      </c>
      <c r="P94" s="12">
        <v>2</v>
      </c>
      <c r="Q94" s="12">
        <v>163</v>
      </c>
      <c r="R94" s="12">
        <v>81.5</v>
      </c>
      <c r="S94" s="12">
        <v>4.5</v>
      </c>
      <c r="T94"/>
      <c r="U94"/>
      <c r="V94"/>
    </row>
    <row r="95" spans="1:22">
      <c r="A95" s="1">
        <f t="shared" si="9"/>
        <v>94</v>
      </c>
      <c r="B95" s="1">
        <f t="shared" si="3"/>
        <v>120163</v>
      </c>
      <c r="C95" s="3" t="s">
        <v>29</v>
      </c>
      <c r="D95" s="1">
        <f t="shared" ca="1" si="4"/>
        <v>95</v>
      </c>
      <c r="E95" s="1">
        <f t="shared" ca="1" si="5"/>
        <v>88</v>
      </c>
      <c r="F95" s="1">
        <f t="shared" ca="1" si="5"/>
        <v>86</v>
      </c>
      <c r="G95" s="1" t="str">
        <f t="shared" si="8"/>
        <v>Female</v>
      </c>
      <c r="H95" s="5">
        <f t="shared" ca="1" si="6"/>
        <v>0.89666666666666661</v>
      </c>
      <c r="O95" s="12" t="s">
        <v>144</v>
      </c>
      <c r="P95" s="12">
        <v>2</v>
      </c>
      <c r="Q95" s="12">
        <v>176</v>
      </c>
      <c r="R95" s="12">
        <v>88</v>
      </c>
      <c r="S95" s="12">
        <v>0</v>
      </c>
      <c r="T95"/>
      <c r="U95"/>
      <c r="V95"/>
    </row>
    <row r="96" spans="1:22">
      <c r="A96" s="1">
        <f t="shared" si="9"/>
        <v>95</v>
      </c>
      <c r="B96" s="1">
        <f t="shared" si="3"/>
        <v>120164</v>
      </c>
      <c r="C96" s="3" t="s">
        <v>30</v>
      </c>
      <c r="D96" s="1">
        <f t="shared" ca="1" si="4"/>
        <v>100</v>
      </c>
      <c r="E96" s="1">
        <f t="shared" ca="1" si="5"/>
        <v>81</v>
      </c>
      <c r="F96" s="1">
        <f t="shared" ca="1" si="5"/>
        <v>99</v>
      </c>
      <c r="G96" s="1" t="str">
        <f t="shared" si="8"/>
        <v>Male</v>
      </c>
      <c r="H96" s="5">
        <f t="shared" ca="1" si="6"/>
        <v>0.93333333333333335</v>
      </c>
      <c r="O96" s="12" t="s">
        <v>145</v>
      </c>
      <c r="P96" s="12">
        <v>2</v>
      </c>
      <c r="Q96" s="12">
        <v>178</v>
      </c>
      <c r="R96" s="12">
        <v>89</v>
      </c>
      <c r="S96" s="12">
        <v>242</v>
      </c>
      <c r="T96"/>
      <c r="U96"/>
      <c r="V96"/>
    </row>
    <row r="97" spans="1:22">
      <c r="A97" s="1">
        <f t="shared" si="9"/>
        <v>96</v>
      </c>
      <c r="B97" s="1">
        <f t="shared" ref="B97:B101" si="10">B96+1</f>
        <v>120165</v>
      </c>
      <c r="C97" s="3" t="s">
        <v>31</v>
      </c>
      <c r="D97" s="1">
        <f t="shared" ref="D97:D101" ca="1" si="11">RANDBETWEEN(70,100)</f>
        <v>91</v>
      </c>
      <c r="E97" s="1">
        <f t="shared" ref="E97:F101" ca="1" si="12">RANDBETWEEN(75,100)</f>
        <v>86</v>
      </c>
      <c r="F97" s="1">
        <f t="shared" ca="1" si="12"/>
        <v>98</v>
      </c>
      <c r="G97" s="1" t="str">
        <f t="shared" si="8"/>
        <v>Female</v>
      </c>
      <c r="H97" s="5">
        <f t="shared" ref="H97:H101" ca="1" si="13">(D97+E97+F97)/300</f>
        <v>0.91666666666666663</v>
      </c>
      <c r="O97" s="12" t="s">
        <v>146</v>
      </c>
      <c r="P97" s="12">
        <v>2</v>
      </c>
      <c r="Q97" s="12">
        <v>176</v>
      </c>
      <c r="R97" s="12">
        <v>88</v>
      </c>
      <c r="S97" s="12">
        <v>288</v>
      </c>
      <c r="T97"/>
      <c r="U97"/>
      <c r="V97"/>
    </row>
    <row r="98" spans="1:22">
      <c r="A98" s="1">
        <f t="shared" si="9"/>
        <v>97</v>
      </c>
      <c r="B98" s="1">
        <f t="shared" si="10"/>
        <v>120166</v>
      </c>
      <c r="C98" s="3" t="s">
        <v>32</v>
      </c>
      <c r="D98" s="1">
        <f t="shared" ca="1" si="11"/>
        <v>89</v>
      </c>
      <c r="E98" s="1">
        <f t="shared" ca="1" si="12"/>
        <v>81</v>
      </c>
      <c r="F98" s="1">
        <f t="shared" ca="1" si="12"/>
        <v>85</v>
      </c>
      <c r="G98" s="1" t="str">
        <f t="shared" si="8"/>
        <v>Male</v>
      </c>
      <c r="H98" s="5">
        <f t="shared" ca="1" si="13"/>
        <v>0.85</v>
      </c>
      <c r="O98" s="12" t="s">
        <v>147</v>
      </c>
      <c r="P98" s="12">
        <v>2</v>
      </c>
      <c r="Q98" s="12">
        <v>166</v>
      </c>
      <c r="R98" s="12">
        <v>83</v>
      </c>
      <c r="S98" s="12">
        <v>2</v>
      </c>
      <c r="T98"/>
      <c r="U98"/>
      <c r="V98"/>
    </row>
    <row r="99" spans="1:22">
      <c r="A99" s="1">
        <f t="shared" si="9"/>
        <v>98</v>
      </c>
      <c r="B99" s="1">
        <f t="shared" si="10"/>
        <v>120167</v>
      </c>
      <c r="C99" s="3" t="s">
        <v>33</v>
      </c>
      <c r="D99" s="1">
        <f t="shared" ca="1" si="11"/>
        <v>93</v>
      </c>
      <c r="E99" s="1">
        <f t="shared" ca="1" si="12"/>
        <v>79</v>
      </c>
      <c r="F99" s="1">
        <f t="shared" ca="1" si="12"/>
        <v>81</v>
      </c>
      <c r="G99" s="1" t="str">
        <f t="shared" si="8"/>
        <v>Female</v>
      </c>
      <c r="H99" s="5">
        <f t="shared" ca="1" si="13"/>
        <v>0.84333333333333338</v>
      </c>
      <c r="O99" s="12" t="s">
        <v>148</v>
      </c>
      <c r="P99" s="12">
        <v>2</v>
      </c>
      <c r="Q99" s="12">
        <v>199</v>
      </c>
      <c r="R99" s="12">
        <v>99.5</v>
      </c>
      <c r="S99" s="12">
        <v>0.5</v>
      </c>
      <c r="T99"/>
      <c r="U99"/>
      <c r="V99"/>
    </row>
    <row r="100" spans="1:22">
      <c r="A100" s="1">
        <f t="shared" si="9"/>
        <v>99</v>
      </c>
      <c r="B100" s="1">
        <f t="shared" si="10"/>
        <v>120168</v>
      </c>
      <c r="C100" s="3" t="s">
        <v>34</v>
      </c>
      <c r="D100" s="1">
        <f t="shared" ca="1" si="11"/>
        <v>75</v>
      </c>
      <c r="E100" s="1">
        <f t="shared" ca="1" si="12"/>
        <v>86</v>
      </c>
      <c r="F100" s="1">
        <f t="shared" ca="1" si="12"/>
        <v>99</v>
      </c>
      <c r="G100" s="1" t="str">
        <f t="shared" si="8"/>
        <v>Male</v>
      </c>
      <c r="H100" s="5">
        <f t="shared" ca="1" si="13"/>
        <v>0.8666666666666667</v>
      </c>
      <c r="O100" s="12" t="s">
        <v>149</v>
      </c>
      <c r="P100" s="12">
        <v>2</v>
      </c>
      <c r="Q100" s="12">
        <v>175</v>
      </c>
      <c r="R100" s="12">
        <v>87.5</v>
      </c>
      <c r="S100" s="12">
        <v>312.5</v>
      </c>
      <c r="T100"/>
      <c r="U100"/>
      <c r="V100"/>
    </row>
    <row r="101" spans="1:22">
      <c r="A101" s="1">
        <f t="shared" si="9"/>
        <v>100</v>
      </c>
      <c r="B101" s="1">
        <f t="shared" si="10"/>
        <v>120169</v>
      </c>
      <c r="C101" s="3" t="s">
        <v>35</v>
      </c>
      <c r="D101" s="1">
        <f t="shared" ca="1" si="11"/>
        <v>71</v>
      </c>
      <c r="E101" s="1">
        <f t="shared" ca="1" si="12"/>
        <v>87</v>
      </c>
      <c r="F101" s="1">
        <f t="shared" ca="1" si="12"/>
        <v>82</v>
      </c>
      <c r="G101" s="1" t="str">
        <f t="shared" si="8"/>
        <v>Female</v>
      </c>
      <c r="H101" s="5">
        <f t="shared" ca="1" si="13"/>
        <v>0.8</v>
      </c>
      <c r="O101" s="12" t="s">
        <v>150</v>
      </c>
      <c r="P101" s="12">
        <v>2</v>
      </c>
      <c r="Q101" s="12">
        <v>177</v>
      </c>
      <c r="R101" s="12">
        <v>88.5</v>
      </c>
      <c r="S101" s="12">
        <v>60.5</v>
      </c>
      <c r="T101"/>
      <c r="U101"/>
      <c r="V101"/>
    </row>
    <row r="102" spans="1:22">
      <c r="O102" s="12" t="s">
        <v>151</v>
      </c>
      <c r="P102" s="12">
        <v>2</v>
      </c>
      <c r="Q102" s="12">
        <v>184</v>
      </c>
      <c r="R102" s="12">
        <v>92</v>
      </c>
      <c r="S102" s="12">
        <v>8</v>
      </c>
      <c r="T102"/>
      <c r="U102"/>
      <c r="V102"/>
    </row>
    <row r="103" spans="1:22">
      <c r="O103" s="12" t="s">
        <v>152</v>
      </c>
      <c r="P103" s="12">
        <v>2</v>
      </c>
      <c r="Q103" s="12">
        <v>169</v>
      </c>
      <c r="R103" s="12">
        <v>84.5</v>
      </c>
      <c r="S103" s="12">
        <v>60.5</v>
      </c>
      <c r="T103"/>
      <c r="U103"/>
      <c r="V103"/>
    </row>
    <row r="104" spans="1:22">
      <c r="O104" s="12" t="s">
        <v>153</v>
      </c>
      <c r="P104" s="12">
        <v>2</v>
      </c>
      <c r="Q104" s="12">
        <v>174</v>
      </c>
      <c r="R104" s="12">
        <v>87</v>
      </c>
      <c r="S104" s="12">
        <v>200</v>
      </c>
      <c r="T104"/>
      <c r="U104"/>
      <c r="V104"/>
    </row>
    <row r="105" spans="1:22">
      <c r="O105" s="12" t="s">
        <v>154</v>
      </c>
      <c r="P105" s="12">
        <v>2</v>
      </c>
      <c r="Q105" s="12">
        <v>177</v>
      </c>
      <c r="R105" s="12">
        <v>88.5</v>
      </c>
      <c r="S105" s="12">
        <v>220.5</v>
      </c>
      <c r="T105"/>
      <c r="U105"/>
      <c r="V105"/>
    </row>
    <row r="106" spans="1:22">
      <c r="O106" s="12" t="s">
        <v>155</v>
      </c>
      <c r="P106" s="12">
        <v>2</v>
      </c>
      <c r="Q106" s="12">
        <v>178</v>
      </c>
      <c r="R106" s="12">
        <v>89</v>
      </c>
      <c r="S106" s="12">
        <v>72</v>
      </c>
      <c r="T106"/>
      <c r="U106"/>
      <c r="V106"/>
    </row>
    <row r="107" spans="1:22">
      <c r="O107" s="12" t="s">
        <v>156</v>
      </c>
      <c r="P107" s="12">
        <v>2</v>
      </c>
      <c r="Q107" s="12">
        <v>194</v>
      </c>
      <c r="R107" s="12">
        <v>97</v>
      </c>
      <c r="S107" s="12">
        <v>18</v>
      </c>
      <c r="T107"/>
      <c r="U107"/>
      <c r="V107"/>
    </row>
    <row r="108" spans="1:22">
      <c r="O108" s="12" t="s">
        <v>157</v>
      </c>
      <c r="P108" s="12">
        <v>2</v>
      </c>
      <c r="Q108" s="12">
        <v>161</v>
      </c>
      <c r="R108" s="12">
        <v>80.5</v>
      </c>
      <c r="S108" s="12">
        <v>0.5</v>
      </c>
      <c r="T108"/>
      <c r="U108"/>
      <c r="V108"/>
    </row>
    <row r="109" spans="1:22">
      <c r="O109" s="12" t="s">
        <v>158</v>
      </c>
      <c r="P109" s="12">
        <v>2</v>
      </c>
      <c r="Q109" s="12">
        <v>175</v>
      </c>
      <c r="R109" s="12">
        <v>87.5</v>
      </c>
      <c r="S109" s="12">
        <v>84.5</v>
      </c>
      <c r="T109"/>
      <c r="U109"/>
      <c r="V109"/>
    </row>
    <row r="110" spans="1:22">
      <c r="O110" s="12" t="s">
        <v>159</v>
      </c>
      <c r="P110" s="12">
        <v>2</v>
      </c>
      <c r="Q110" s="12">
        <v>165</v>
      </c>
      <c r="R110" s="12">
        <v>82.5</v>
      </c>
      <c r="S110" s="12">
        <v>60.5</v>
      </c>
      <c r="T110"/>
      <c r="U110"/>
      <c r="V110"/>
    </row>
    <row r="111" spans="1:22">
      <c r="O111" s="12" t="s">
        <v>160</v>
      </c>
      <c r="P111" s="12">
        <v>2</v>
      </c>
      <c r="Q111" s="12">
        <v>161</v>
      </c>
      <c r="R111" s="12">
        <v>80.5</v>
      </c>
      <c r="S111" s="12">
        <v>0.5</v>
      </c>
      <c r="T111"/>
      <c r="U111"/>
      <c r="V111"/>
    </row>
    <row r="112" spans="1:22">
      <c r="O112" s="12" t="s">
        <v>161</v>
      </c>
      <c r="P112" s="12">
        <v>2</v>
      </c>
      <c r="Q112" s="12">
        <v>175</v>
      </c>
      <c r="R112" s="12">
        <v>87.5</v>
      </c>
      <c r="S112" s="12">
        <v>112.5</v>
      </c>
      <c r="T112"/>
      <c r="U112"/>
      <c r="V112"/>
    </row>
    <row r="113" spans="15:22">
      <c r="O113" s="12" t="s">
        <v>162</v>
      </c>
      <c r="P113" s="12">
        <v>2</v>
      </c>
      <c r="Q113" s="12">
        <v>175</v>
      </c>
      <c r="R113" s="12">
        <v>87.5</v>
      </c>
      <c r="S113" s="12">
        <v>264.5</v>
      </c>
      <c r="T113"/>
      <c r="U113"/>
      <c r="V113"/>
    </row>
    <row r="114" spans="15:22">
      <c r="O114" s="12" t="s">
        <v>163</v>
      </c>
      <c r="P114" s="12">
        <v>2</v>
      </c>
      <c r="Q114" s="12">
        <v>183</v>
      </c>
      <c r="R114" s="12">
        <v>91.5</v>
      </c>
      <c r="S114" s="12">
        <v>4.5</v>
      </c>
      <c r="T114"/>
      <c r="U114"/>
      <c r="V114"/>
    </row>
    <row r="115" spans="15:22">
      <c r="O115" s="12" t="s">
        <v>164</v>
      </c>
      <c r="P115" s="12">
        <v>2</v>
      </c>
      <c r="Q115" s="12">
        <v>196</v>
      </c>
      <c r="R115" s="12">
        <v>98</v>
      </c>
      <c r="S115" s="12">
        <v>8</v>
      </c>
      <c r="T115"/>
      <c r="U115"/>
      <c r="V115"/>
    </row>
    <row r="116" spans="15:22">
      <c r="O116" s="12" t="s">
        <v>165</v>
      </c>
      <c r="P116" s="12">
        <v>2</v>
      </c>
      <c r="Q116" s="12">
        <v>177</v>
      </c>
      <c r="R116" s="12">
        <v>88.5</v>
      </c>
      <c r="S116" s="12">
        <v>264.5</v>
      </c>
      <c r="T116"/>
      <c r="U116"/>
      <c r="V116"/>
    </row>
    <row r="117" spans="15:22">
      <c r="O117" s="12" t="s">
        <v>166</v>
      </c>
      <c r="P117" s="12">
        <v>2</v>
      </c>
      <c r="Q117" s="12">
        <v>177</v>
      </c>
      <c r="R117" s="12">
        <v>88.5</v>
      </c>
      <c r="S117" s="12">
        <v>40.5</v>
      </c>
      <c r="T117"/>
      <c r="U117"/>
      <c r="V117"/>
    </row>
    <row r="118" spans="15:22">
      <c r="O118" s="12" t="s">
        <v>167</v>
      </c>
      <c r="P118" s="12">
        <v>2</v>
      </c>
      <c r="Q118" s="12">
        <v>172</v>
      </c>
      <c r="R118" s="12">
        <v>86</v>
      </c>
      <c r="S118" s="12">
        <v>18</v>
      </c>
      <c r="T118"/>
      <c r="U118"/>
      <c r="V118"/>
    </row>
    <row r="119" spans="15:22">
      <c r="O119" s="12"/>
      <c r="P119" s="12"/>
      <c r="Q119" s="12"/>
      <c r="R119" s="12"/>
      <c r="S119" s="12"/>
      <c r="T119"/>
      <c r="U119"/>
      <c r="V119"/>
    </row>
    <row r="120" spans="15:22">
      <c r="O120" s="12" t="s">
        <v>168</v>
      </c>
      <c r="P120" s="12">
        <v>100</v>
      </c>
      <c r="Q120" s="12">
        <v>8831</v>
      </c>
      <c r="R120" s="12">
        <v>88.31</v>
      </c>
      <c r="S120" s="12">
        <v>51.22616161616164</v>
      </c>
      <c r="T120"/>
      <c r="U120"/>
      <c r="V120"/>
    </row>
    <row r="121" spans="15:22" ht="15.75" thickBot="1">
      <c r="O121" s="6" t="s">
        <v>169</v>
      </c>
      <c r="P121" s="6">
        <v>100</v>
      </c>
      <c r="Q121" s="6">
        <v>8720</v>
      </c>
      <c r="R121" s="6">
        <v>87.2</v>
      </c>
      <c r="S121" s="6">
        <v>56.14141414141416</v>
      </c>
      <c r="T121"/>
      <c r="U121"/>
      <c r="V121"/>
    </row>
    <row r="122" spans="15:22">
      <c r="O122"/>
      <c r="P122"/>
      <c r="Q122"/>
      <c r="R122"/>
      <c r="S122"/>
      <c r="T122"/>
      <c r="U122"/>
      <c r="V122"/>
    </row>
    <row r="123" spans="15:22">
      <c r="O123"/>
      <c r="P123"/>
      <c r="Q123"/>
      <c r="R123"/>
      <c r="S123"/>
      <c r="T123"/>
      <c r="U123"/>
      <c r="V123"/>
    </row>
    <row r="124" spans="15:22" ht="15.75" thickBot="1">
      <c r="O124" t="s">
        <v>170</v>
      </c>
      <c r="P124"/>
      <c r="Q124"/>
      <c r="R124"/>
      <c r="S124"/>
      <c r="T124"/>
      <c r="U124"/>
      <c r="V124"/>
    </row>
    <row r="125" spans="15:22">
      <c r="O125" t="s">
        <v>171</v>
      </c>
      <c r="P125" t="s">
        <v>172</v>
      </c>
      <c r="Q125" t="s">
        <v>49</v>
      </c>
      <c r="R125" t="s">
        <v>173</v>
      </c>
      <c r="S125" t="s">
        <v>50</v>
      </c>
      <c r="T125" t="s">
        <v>174</v>
      </c>
      <c r="U125" t="s">
        <v>175</v>
      </c>
      <c r="V125" s="7" t="s">
        <v>175</v>
      </c>
    </row>
    <row r="126" spans="15:22">
      <c r="O126" t="s">
        <v>176</v>
      </c>
      <c r="P126">
        <v>5289.0950000000012</v>
      </c>
      <c r="Q126">
        <v>99</v>
      </c>
      <c r="R126">
        <v>53.425202020202029</v>
      </c>
      <c r="S126">
        <v>1.173035743790884</v>
      </c>
      <c r="T126">
        <v>0.21431030235236992</v>
      </c>
      <c r="U126">
        <v>1.3940612573481483</v>
      </c>
      <c r="V126" s="12">
        <v>1.3940612573481483</v>
      </c>
    </row>
    <row r="127" spans="15:22">
      <c r="O127" t="s">
        <v>177</v>
      </c>
      <c r="P127">
        <v>39.604999999997744</v>
      </c>
      <c r="Q127">
        <v>1</v>
      </c>
      <c r="R127">
        <v>39.604999999997744</v>
      </c>
      <c r="S127">
        <v>0.86959110824265695</v>
      </c>
      <c r="T127">
        <v>0.35333721116473271</v>
      </c>
      <c r="U127">
        <v>3.9371169109628967</v>
      </c>
      <c r="V127" s="12">
        <v>3.9371169109628967</v>
      </c>
    </row>
    <row r="128" spans="15:22">
      <c r="O128" t="s">
        <v>178</v>
      </c>
      <c r="P128">
        <v>4508.8950000000023</v>
      </c>
      <c r="Q128">
        <v>99</v>
      </c>
      <c r="R128">
        <v>45.544393939393963</v>
      </c>
      <c r="S128"/>
      <c r="T128"/>
      <c r="U128"/>
      <c r="V128" s="12"/>
    </row>
    <row r="129" spans="15:22">
      <c r="O129"/>
      <c r="P129"/>
      <c r="Q129"/>
      <c r="R129"/>
      <c r="S129"/>
      <c r="T129"/>
      <c r="U129"/>
      <c r="V129" s="12"/>
    </row>
    <row r="130" spans="15:22" ht="15.75" thickBot="1">
      <c r="O130" t="s">
        <v>179</v>
      </c>
      <c r="P130">
        <v>9837.5950000000012</v>
      </c>
      <c r="Q130">
        <v>199</v>
      </c>
      <c r="R130"/>
      <c r="S130"/>
      <c r="T130"/>
      <c r="U130"/>
      <c r="V130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Student 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student</cp:lastModifiedBy>
  <dcterms:created xsi:type="dcterms:W3CDTF">2024-02-19T11:57:57Z</dcterms:created>
  <dcterms:modified xsi:type="dcterms:W3CDTF">2026-07-01T07:29:33Z</dcterms:modified>
</cp:coreProperties>
</file>