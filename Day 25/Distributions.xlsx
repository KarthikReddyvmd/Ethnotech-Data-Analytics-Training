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Day 25\"/>
    </mc:Choice>
  </mc:AlternateContent>
  <bookViews>
    <workbookView xWindow="0" yWindow="0" windowWidth="21570" windowHeight="777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3" i="1" l="1"/>
  <c r="Y9" i="1"/>
  <c r="R16" i="1"/>
  <c r="X9" i="1"/>
  <c r="Q16" i="1"/>
  <c r="Y8" i="1"/>
  <c r="X8" i="1"/>
  <c r="V12" i="1"/>
  <c r="X13" i="1"/>
  <c r="Y3" i="1"/>
  <c r="Y4" i="1"/>
  <c r="Y5" i="1"/>
  <c r="Y6" i="1"/>
  <c r="Y2" i="1"/>
  <c r="X3" i="1"/>
  <c r="X4" i="1"/>
  <c r="X5" i="1"/>
  <c r="X6" i="1"/>
  <c r="X2" i="1"/>
  <c r="V6" i="1"/>
  <c r="V5" i="1"/>
  <c r="V4" i="1"/>
  <c r="V3" i="1"/>
  <c r="V2" i="1"/>
  <c r="U6" i="1"/>
  <c r="U5" i="1"/>
  <c r="U4" i="1"/>
  <c r="U3" i="1"/>
  <c r="U2" i="1"/>
  <c r="S9" i="1"/>
  <c r="R9" i="1"/>
  <c r="A26" i="1" l="1"/>
  <c r="K8" i="1"/>
  <c r="K6" i="1"/>
  <c r="K4" i="1"/>
  <c r="K2" i="1"/>
  <c r="P8" i="1"/>
  <c r="P6" i="1"/>
  <c r="P4" i="1"/>
  <c r="P2" i="1"/>
  <c r="E22" i="1"/>
  <c r="A23" i="1"/>
  <c r="A22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3" i="1"/>
</calcChain>
</file>

<file path=xl/sharedStrings.xml><?xml version="1.0" encoding="utf-8"?>
<sst xmlns="http://schemas.openxmlformats.org/spreadsheetml/2006/main" count="27" uniqueCount="26">
  <si>
    <t>MinTemp</t>
  </si>
  <si>
    <t>MaxTemp</t>
  </si>
  <si>
    <t>Rainfall</t>
  </si>
  <si>
    <t>Evaporation</t>
  </si>
  <si>
    <t>Sunshine</t>
  </si>
  <si>
    <t>Trial</t>
  </si>
  <si>
    <t>Result</t>
  </si>
  <si>
    <t>Binomial Distribution</t>
  </si>
  <si>
    <t>Hour</t>
  </si>
  <si>
    <t>Customers</t>
  </si>
  <si>
    <t>Poisson Distribution</t>
  </si>
  <si>
    <t>Covarience</t>
  </si>
  <si>
    <t>Correlation</t>
  </si>
  <si>
    <t>Z-Score</t>
  </si>
  <si>
    <t>x</t>
  </si>
  <si>
    <t>y</t>
  </si>
  <si>
    <t>xi</t>
  </si>
  <si>
    <t>yi</t>
  </si>
  <si>
    <t>x-xi</t>
  </si>
  <si>
    <t>y-yi</t>
  </si>
  <si>
    <t>sqr(x-xi)</t>
  </si>
  <si>
    <t>sqr(y-yi)</t>
  </si>
  <si>
    <t>correlation</t>
  </si>
  <si>
    <t>sqrt(var(x))</t>
  </si>
  <si>
    <t>sqrt(var(y))</t>
  </si>
  <si>
    <t>H0: a coin is A fair 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</si>
</sst>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Views>
    <sheetView topLeftCell="B1" workbookViewId="0">
      <selection activeCell="X13" sqref="X13"/>
    </sheetView>
  </sheetViews>
  <sheetFormatPr defaultRowHeight="15" x14ac:dyDescent="0.25"/>
  <cols>
    <col min="1" max="1" width="12" bestFit="1" customWidth="1"/>
    <col min="2" max="2" width="10.85546875" bestFit="1" customWidth="1"/>
    <col min="3" max="3" width="7.7109375" bestFit="1" customWidth="1"/>
    <col min="4" max="4" width="11.5703125" bestFit="1" customWidth="1"/>
    <col min="8" max="8" width="4.85546875" bestFit="1" customWidth="1"/>
    <col min="9" max="9" width="6.5703125" bestFit="1" customWidth="1"/>
    <col min="11" max="11" width="20.140625" bestFit="1" customWidth="1"/>
    <col min="13" max="13" width="6.28515625" bestFit="1" customWidth="1"/>
    <col min="14" max="14" width="9" bestFit="1" customWidth="1"/>
    <col min="16" max="16" width="19.140625" bestFit="1" customWidth="1"/>
    <col min="21" max="21" width="10.7109375" bestFit="1" customWidth="1"/>
    <col min="22" max="22" width="12" bestFit="1" customWidth="1"/>
    <col min="23" max="23" width="11" bestFit="1" customWidth="1"/>
    <col min="24" max="25" width="12" bestFit="1" customWidth="1"/>
    <col min="26" max="26" width="11" bestFit="1" customWidth="1"/>
    <col min="29" max="29" width="20.85546875" bestFit="1" customWidth="1"/>
  </cols>
  <sheetData>
    <row r="1" spans="1:29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K1" s="1" t="s">
        <v>7</v>
      </c>
      <c r="M1" s="2" t="s">
        <v>8</v>
      </c>
      <c r="N1" s="2" t="s">
        <v>9</v>
      </c>
      <c r="P1" s="1" t="s">
        <v>10</v>
      </c>
      <c r="R1" s="1" t="s">
        <v>14</v>
      </c>
      <c r="S1" s="1" t="s">
        <v>15</v>
      </c>
      <c r="U1" s="1" t="s">
        <v>18</v>
      </c>
      <c r="V1" s="1" t="s">
        <v>19</v>
      </c>
      <c r="X1" s="1" t="s">
        <v>20</v>
      </c>
      <c r="Y1" s="1" t="s">
        <v>21</v>
      </c>
      <c r="AC1" t="s">
        <v>25</v>
      </c>
    </row>
    <row r="2" spans="1:29" ht="16.5" x14ac:dyDescent="0.25">
      <c r="A2" s="1">
        <v>8</v>
      </c>
      <c r="B2" s="1">
        <v>24.3</v>
      </c>
      <c r="C2" s="1">
        <v>0</v>
      </c>
      <c r="D2" s="1">
        <v>3.4</v>
      </c>
      <c r="E2" s="1">
        <v>6.3</v>
      </c>
      <c r="H2" s="1">
        <v>1</v>
      </c>
      <c r="I2" s="1">
        <v>1</v>
      </c>
      <c r="K2" s="1">
        <f>BINOMDIST(13,20,13/20,FALSE)</f>
        <v>0.18440118638393124</v>
      </c>
      <c r="M2" s="3">
        <v>1</v>
      </c>
      <c r="N2" s="3">
        <v>4</v>
      </c>
      <c r="P2" s="1">
        <f>_xlfn.POISSON.DIST(13,AVERAGE(N2:N21),TRUE)</f>
        <v>0.99996628180166858</v>
      </c>
      <c r="R2" s="1">
        <v>2</v>
      </c>
      <c r="S2" s="1">
        <v>4</v>
      </c>
      <c r="U2" s="1">
        <f>R2-R9</f>
        <v>-0.39999999999999991</v>
      </c>
      <c r="V2" s="1">
        <f>S2-S9</f>
        <v>0.10000000000000009</v>
      </c>
      <c r="X2" s="1">
        <f>U2*U2</f>
        <v>0.15999999999999992</v>
      </c>
      <c r="Y2" s="1">
        <f>V2*V2</f>
        <v>1.0000000000000018E-2</v>
      </c>
      <c r="AC2" t="s">
        <v>25</v>
      </c>
    </row>
    <row r="3" spans="1:29" ht="16.5" x14ac:dyDescent="0.25">
      <c r="A3" s="1">
        <v>14</v>
      </c>
      <c r="B3" s="1">
        <v>26.9</v>
      </c>
      <c r="C3" s="1">
        <v>3.6</v>
      </c>
      <c r="D3" s="1">
        <v>4.4000000000000004</v>
      </c>
      <c r="E3" s="1">
        <v>9.6999999999999993</v>
      </c>
      <c r="H3" s="1">
        <f>H2+1</f>
        <v>2</v>
      </c>
      <c r="I3" s="1">
        <v>1</v>
      </c>
      <c r="K3" s="1"/>
      <c r="M3" s="3">
        <v>2</v>
      </c>
      <c r="N3" s="3">
        <v>3</v>
      </c>
      <c r="P3" s="1"/>
      <c r="R3" s="1">
        <v>3</v>
      </c>
      <c r="S3" s="1">
        <v>4.5</v>
      </c>
      <c r="U3" s="1">
        <f>R3-R9</f>
        <v>0.60000000000000009</v>
      </c>
      <c r="V3" s="1">
        <f>S3-S9</f>
        <v>0.60000000000000009</v>
      </c>
      <c r="X3" s="1">
        <f t="shared" ref="X3:X6" si="0">U3*U3</f>
        <v>0.3600000000000001</v>
      </c>
      <c r="Y3" s="1">
        <f t="shared" ref="Y3:Y6" si="1">V3*V3</f>
        <v>0.3600000000000001</v>
      </c>
    </row>
    <row r="4" spans="1:29" ht="16.5" x14ac:dyDescent="0.25">
      <c r="A4" s="1">
        <v>13.7</v>
      </c>
      <c r="B4" s="1">
        <v>23.4</v>
      </c>
      <c r="C4" s="1">
        <v>3.6</v>
      </c>
      <c r="D4" s="1">
        <v>5.8</v>
      </c>
      <c r="E4" s="1">
        <v>3.3</v>
      </c>
      <c r="H4" s="1">
        <f t="shared" ref="H4:H21" si="2">H3+1</f>
        <v>3</v>
      </c>
      <c r="I4" s="1">
        <v>1</v>
      </c>
      <c r="K4" s="1">
        <f>BINOMDIST(10,20,13/20,FALSE)</f>
        <v>6.8613972014454891E-2</v>
      </c>
      <c r="M4" s="3">
        <v>3</v>
      </c>
      <c r="N4" s="3">
        <v>5</v>
      </c>
      <c r="P4" s="1">
        <f>_xlfn.POISSON.DIST(7,AVERAGE(N2:N21),TRUE)</f>
        <v>0.96475926952786095</v>
      </c>
      <c r="R4" s="1">
        <v>6</v>
      </c>
      <c r="S4" s="1">
        <v>6</v>
      </c>
      <c r="U4" s="1">
        <f>R4-R9</f>
        <v>3.6</v>
      </c>
      <c r="V4" s="1">
        <f>S4-S9</f>
        <v>2.1</v>
      </c>
      <c r="X4" s="1">
        <f t="shared" si="0"/>
        <v>12.96</v>
      </c>
      <c r="Y4" s="1">
        <f t="shared" si="1"/>
        <v>4.41</v>
      </c>
    </row>
    <row r="5" spans="1:29" ht="16.5" x14ac:dyDescent="0.25">
      <c r="A5" s="1">
        <v>13.3</v>
      </c>
      <c r="B5" s="1">
        <v>15.5</v>
      </c>
      <c r="C5" s="1">
        <v>39.799999999999997</v>
      </c>
      <c r="D5" s="1">
        <v>7.2</v>
      </c>
      <c r="E5" s="1">
        <v>9.1</v>
      </c>
      <c r="H5" s="1">
        <f t="shared" si="2"/>
        <v>4</v>
      </c>
      <c r="I5" s="1">
        <v>0</v>
      </c>
      <c r="K5" s="1"/>
      <c r="M5" s="3">
        <v>4</v>
      </c>
      <c r="N5" s="3">
        <v>2</v>
      </c>
      <c r="P5" s="1"/>
      <c r="R5" s="1">
        <v>0</v>
      </c>
      <c r="S5" s="1">
        <v>3</v>
      </c>
      <c r="U5" s="1">
        <f>R5-R9</f>
        <v>-2.4</v>
      </c>
      <c r="V5" s="1">
        <f>S5-S9</f>
        <v>-0.89999999999999991</v>
      </c>
      <c r="X5" s="1">
        <f t="shared" si="0"/>
        <v>5.76</v>
      </c>
      <c r="Y5" s="1">
        <f t="shared" si="1"/>
        <v>0.80999999999999983</v>
      </c>
    </row>
    <row r="6" spans="1:29" ht="16.5" x14ac:dyDescent="0.25">
      <c r="A6" s="1">
        <v>7.6</v>
      </c>
      <c r="B6" s="1">
        <v>16.100000000000001</v>
      </c>
      <c r="C6" s="1">
        <v>2.8</v>
      </c>
      <c r="D6" s="1">
        <v>5.6</v>
      </c>
      <c r="E6" s="1">
        <v>10.6</v>
      </c>
      <c r="H6" s="1">
        <f t="shared" si="2"/>
        <v>5</v>
      </c>
      <c r="I6" s="1">
        <v>1</v>
      </c>
      <c r="K6" s="1">
        <f>BINOMDIST(7,20,13/20,FALSE)</f>
        <v>4.4946081721657337E-3</v>
      </c>
      <c r="M6" s="3">
        <v>5</v>
      </c>
      <c r="N6" s="3">
        <v>4</v>
      </c>
      <c r="P6" s="1">
        <f>_xlfn.POISSON.DIST(10,AVERAGE(N2:N21),TRUE)</f>
        <v>0.99842781899908228</v>
      </c>
      <c r="R6" s="1">
        <v>1</v>
      </c>
      <c r="S6" s="1">
        <v>2</v>
      </c>
      <c r="U6" s="1">
        <f>R6-R9</f>
        <v>-1.4</v>
      </c>
      <c r="V6" s="1">
        <f>S6-S9</f>
        <v>-1.9</v>
      </c>
      <c r="X6" s="1">
        <f t="shared" si="0"/>
        <v>1.9599999999999997</v>
      </c>
      <c r="Y6" s="1">
        <f t="shared" si="1"/>
        <v>3.61</v>
      </c>
    </row>
    <row r="7" spans="1:29" ht="16.5" x14ac:dyDescent="0.25">
      <c r="A7" s="1">
        <v>6.2</v>
      </c>
      <c r="B7" s="1">
        <v>16.899999999999999</v>
      </c>
      <c r="C7" s="1">
        <v>0</v>
      </c>
      <c r="D7" s="1">
        <v>5.8</v>
      </c>
      <c r="E7" s="1">
        <v>8.1999999999999993</v>
      </c>
      <c r="H7" s="1">
        <f t="shared" si="2"/>
        <v>6</v>
      </c>
      <c r="I7" s="1">
        <v>1</v>
      </c>
      <c r="K7" s="1"/>
      <c r="M7" s="3">
        <v>6</v>
      </c>
      <c r="N7" s="3">
        <v>6</v>
      </c>
      <c r="P7" s="1"/>
    </row>
    <row r="8" spans="1:29" ht="16.5" x14ac:dyDescent="0.25">
      <c r="A8" s="1">
        <v>6.1</v>
      </c>
      <c r="B8" s="1">
        <v>18.2</v>
      </c>
      <c r="C8" s="1">
        <v>0.2</v>
      </c>
      <c r="D8" s="1">
        <v>4.2</v>
      </c>
      <c r="E8" s="1">
        <v>8.4</v>
      </c>
      <c r="H8" s="1">
        <f t="shared" si="2"/>
        <v>7</v>
      </c>
      <c r="I8" s="1">
        <v>0</v>
      </c>
      <c r="K8" s="1">
        <f>BINOMDIST(6,20,13/20,FALSE)</f>
        <v>1.2100868155830826E-3</v>
      </c>
      <c r="M8" s="3">
        <v>7</v>
      </c>
      <c r="N8" s="3">
        <v>3</v>
      </c>
      <c r="P8" s="1">
        <f>_xlfn.POISSON.DIST(5,AVERAGE(N2:N21),TRUE)</f>
        <v>0.83008829507595716</v>
      </c>
      <c r="R8" s="1" t="s">
        <v>16</v>
      </c>
      <c r="S8" s="1" t="s">
        <v>17</v>
      </c>
      <c r="X8" s="4">
        <f>_xlfn.VAR.S(X2:X6)</f>
        <v>28.812000000000008</v>
      </c>
      <c r="Y8" s="4">
        <f>_xlfn.VAR.S(Y2:Y6)</f>
        <v>4.0845000000000002</v>
      </c>
    </row>
    <row r="9" spans="1:29" ht="16.5" x14ac:dyDescent="0.25">
      <c r="A9" s="1">
        <v>8.3000000000000007</v>
      </c>
      <c r="B9" s="1">
        <v>17</v>
      </c>
      <c r="C9" s="1">
        <v>0</v>
      </c>
      <c r="D9" s="1">
        <v>5.6</v>
      </c>
      <c r="E9" s="1">
        <v>4.5999999999999996</v>
      </c>
      <c r="H9" s="1">
        <f t="shared" si="2"/>
        <v>8</v>
      </c>
      <c r="I9" s="1">
        <v>0</v>
      </c>
      <c r="M9" s="3">
        <v>8</v>
      </c>
      <c r="N9" s="3">
        <v>2</v>
      </c>
      <c r="R9" s="1">
        <f>AVERAGE(R2:R6)</f>
        <v>2.4</v>
      </c>
      <c r="S9" s="1">
        <f>AVERAGE(S2:S6)</f>
        <v>3.9</v>
      </c>
      <c r="W9" s="1" t="s">
        <v>23</v>
      </c>
      <c r="X9" s="1">
        <f>SQRT(SUM(X2:X6)/4)</f>
        <v>2.3021728866442679</v>
      </c>
      <c r="Y9" s="1">
        <f>SQRT(SUM(Y2:Y6)/4)</f>
        <v>1.51657508881031</v>
      </c>
      <c r="Z9" s="1" t="s">
        <v>24</v>
      </c>
    </row>
    <row r="10" spans="1:29" ht="16.5" x14ac:dyDescent="0.25">
      <c r="A10" s="1">
        <v>8.8000000000000007</v>
      </c>
      <c r="B10" s="1">
        <v>19.5</v>
      </c>
      <c r="C10" s="1">
        <v>0</v>
      </c>
      <c r="D10" s="1">
        <v>4</v>
      </c>
      <c r="E10" s="1">
        <v>4.0999999999999996</v>
      </c>
      <c r="H10" s="1">
        <f t="shared" si="2"/>
        <v>9</v>
      </c>
      <c r="I10" s="1">
        <v>0</v>
      </c>
      <c r="M10" s="3">
        <v>9</v>
      </c>
      <c r="N10" s="3">
        <v>4</v>
      </c>
    </row>
    <row r="11" spans="1:29" ht="16.5" x14ac:dyDescent="0.25">
      <c r="A11" s="1">
        <v>8.4</v>
      </c>
      <c r="B11" s="1">
        <v>22.8</v>
      </c>
      <c r="C11" s="1">
        <v>16.2</v>
      </c>
      <c r="D11" s="1">
        <v>5.4</v>
      </c>
      <c r="E11" s="1">
        <v>7.7</v>
      </c>
      <c r="H11" s="1">
        <f t="shared" si="2"/>
        <v>10</v>
      </c>
      <c r="I11" s="1">
        <v>1</v>
      </c>
      <c r="M11" s="3">
        <v>10</v>
      </c>
      <c r="N11" s="3">
        <v>5</v>
      </c>
    </row>
    <row r="12" spans="1:29" ht="16.5" x14ac:dyDescent="0.25">
      <c r="A12" s="1">
        <v>9.1</v>
      </c>
      <c r="B12" s="1">
        <v>25.2</v>
      </c>
      <c r="C12" s="1">
        <v>0</v>
      </c>
      <c r="D12" s="1">
        <v>4.2</v>
      </c>
      <c r="E12" s="1">
        <v>11.9</v>
      </c>
      <c r="H12" s="1">
        <f t="shared" si="2"/>
        <v>11</v>
      </c>
      <c r="I12" s="1">
        <v>0</v>
      </c>
      <c r="M12" s="3">
        <v>11</v>
      </c>
      <c r="N12" s="3">
        <v>3</v>
      </c>
      <c r="U12" s="4" t="s">
        <v>22</v>
      </c>
      <c r="V12" s="4">
        <f>_xlfn.COVARIANCE.S(R2:R6,S2:S6)</f>
        <v>3.1750000000000003</v>
      </c>
    </row>
    <row r="13" spans="1:29" ht="16.5" x14ac:dyDescent="0.25">
      <c r="A13" s="1">
        <v>8.5</v>
      </c>
      <c r="B13" s="1">
        <v>27.3</v>
      </c>
      <c r="C13" s="1">
        <v>0.2</v>
      </c>
      <c r="D13" s="1">
        <v>7.2</v>
      </c>
      <c r="E13" s="1">
        <v>12.5</v>
      </c>
      <c r="H13" s="1">
        <f t="shared" si="2"/>
        <v>12</v>
      </c>
      <c r="I13" s="1">
        <v>0</v>
      </c>
      <c r="M13" s="3">
        <v>12</v>
      </c>
      <c r="N13" s="3">
        <v>4</v>
      </c>
      <c r="U13" s="1"/>
      <c r="V13" s="1">
        <f>V12/(X9*Y9)</f>
        <v>0.90937262582535017</v>
      </c>
      <c r="W13" s="1"/>
      <c r="X13" s="1">
        <f>CORREL(R2:R6,S2:S6)</f>
        <v>0.90937262582535006</v>
      </c>
    </row>
    <row r="14" spans="1:29" ht="16.5" x14ac:dyDescent="0.25">
      <c r="A14" s="1">
        <v>10.1</v>
      </c>
      <c r="B14" s="1">
        <v>27.9</v>
      </c>
      <c r="C14" s="1">
        <v>0</v>
      </c>
      <c r="D14" s="1">
        <v>7.2</v>
      </c>
      <c r="E14" s="1">
        <v>13</v>
      </c>
      <c r="H14" s="1">
        <f t="shared" si="2"/>
        <v>13</v>
      </c>
      <c r="I14" s="1">
        <v>1</v>
      </c>
      <c r="M14" s="3">
        <v>13</v>
      </c>
      <c r="N14" s="3">
        <v>2</v>
      </c>
      <c r="U14" s="5"/>
      <c r="V14" s="5"/>
    </row>
    <row r="15" spans="1:29" ht="16.5" x14ac:dyDescent="0.25">
      <c r="A15" s="1">
        <v>12.1</v>
      </c>
      <c r="B15" s="1">
        <v>30.9</v>
      </c>
      <c r="C15" s="1">
        <v>0</v>
      </c>
      <c r="D15" s="1">
        <v>6.2</v>
      </c>
      <c r="E15" s="1">
        <v>12.4</v>
      </c>
      <c r="H15" s="1">
        <f t="shared" si="2"/>
        <v>14</v>
      </c>
      <c r="I15" s="1">
        <v>0</v>
      </c>
      <c r="M15" s="3">
        <v>14</v>
      </c>
      <c r="N15" s="3">
        <v>3</v>
      </c>
    </row>
    <row r="16" spans="1:29" ht="16.5" x14ac:dyDescent="0.25">
      <c r="A16" s="1">
        <v>10.1</v>
      </c>
      <c r="B16" s="1">
        <v>31.2</v>
      </c>
      <c r="C16" s="1">
        <v>0</v>
      </c>
      <c r="D16" s="1">
        <v>8.8000000000000007</v>
      </c>
      <c r="E16" s="1">
        <v>13.1</v>
      </c>
      <c r="H16" s="1">
        <f t="shared" si="2"/>
        <v>15</v>
      </c>
      <c r="I16" s="1">
        <v>1</v>
      </c>
      <c r="M16" s="3">
        <v>15</v>
      </c>
      <c r="N16" s="3">
        <v>5</v>
      </c>
      <c r="Q16">
        <f>SQRT(SUM(X2:X6)/4)</f>
        <v>2.3021728866442679</v>
      </c>
      <c r="R16">
        <f>SQRT(SUM(Y2:Y6)/4)</f>
        <v>1.51657508881031</v>
      </c>
    </row>
    <row r="17" spans="1:14" ht="16.5" x14ac:dyDescent="0.25">
      <c r="A17" s="1">
        <v>12.4</v>
      </c>
      <c r="B17" s="1">
        <v>32.1</v>
      </c>
      <c r="C17" s="1">
        <v>0</v>
      </c>
      <c r="D17" s="1">
        <v>8.4</v>
      </c>
      <c r="E17" s="1">
        <v>11.1</v>
      </c>
      <c r="H17" s="1">
        <f t="shared" si="2"/>
        <v>16</v>
      </c>
      <c r="I17" s="1">
        <v>0</v>
      </c>
      <c r="M17" s="3">
        <v>16</v>
      </c>
      <c r="N17" s="3">
        <v>4</v>
      </c>
    </row>
    <row r="18" spans="1:14" ht="16.5" x14ac:dyDescent="0.25">
      <c r="A18" s="1">
        <v>13.8</v>
      </c>
      <c r="B18" s="1">
        <v>31.2</v>
      </c>
      <c r="C18" s="1">
        <v>0</v>
      </c>
      <c r="D18" s="1">
        <v>7.2</v>
      </c>
      <c r="E18" s="1">
        <v>8.4</v>
      </c>
      <c r="H18" s="1">
        <f t="shared" si="2"/>
        <v>17</v>
      </c>
      <c r="I18" s="1">
        <v>0</v>
      </c>
      <c r="M18" s="3">
        <v>17</v>
      </c>
      <c r="N18" s="3">
        <v>6</v>
      </c>
    </row>
    <row r="19" spans="1:14" ht="16.5" x14ac:dyDescent="0.25">
      <c r="A19" s="1">
        <v>11.7</v>
      </c>
      <c r="B19" s="1">
        <v>30</v>
      </c>
      <c r="C19" s="1">
        <v>1.2</v>
      </c>
      <c r="D19" s="1">
        <v>7.2</v>
      </c>
      <c r="E19" s="1">
        <v>10.1</v>
      </c>
      <c r="H19" s="1">
        <f t="shared" si="2"/>
        <v>18</v>
      </c>
      <c r="I19" s="1">
        <v>1</v>
      </c>
      <c r="M19" s="3">
        <v>18</v>
      </c>
      <c r="N19" s="3">
        <v>3</v>
      </c>
    </row>
    <row r="20" spans="1:14" ht="16.5" x14ac:dyDescent="0.25">
      <c r="A20" s="1">
        <v>12.4</v>
      </c>
      <c r="B20" s="1">
        <v>32.299999999999997</v>
      </c>
      <c r="C20" s="1">
        <v>0.6</v>
      </c>
      <c r="D20" s="1">
        <v>7.4</v>
      </c>
      <c r="E20" s="1">
        <v>13</v>
      </c>
      <c r="H20" s="1">
        <f t="shared" si="2"/>
        <v>19</v>
      </c>
      <c r="I20" s="1">
        <v>1</v>
      </c>
      <c r="M20" s="3">
        <v>19</v>
      </c>
      <c r="N20" s="3">
        <v>4</v>
      </c>
    </row>
    <row r="21" spans="1:14" ht="16.5" x14ac:dyDescent="0.25">
      <c r="H21" s="1">
        <f t="shared" si="2"/>
        <v>20</v>
      </c>
      <c r="I21" s="1">
        <v>0</v>
      </c>
      <c r="M21" s="3">
        <v>20</v>
      </c>
      <c r="N21" s="3">
        <v>2</v>
      </c>
    </row>
    <row r="22" spans="1:14" x14ac:dyDescent="0.25">
      <c r="A22" s="1">
        <f>_xlfn.COVARIANCE.S(A2:A20,B2:B20)</f>
        <v>8.4402923976608157</v>
      </c>
      <c r="B22" s="1" t="s">
        <v>11</v>
      </c>
      <c r="D22" s="1" t="s">
        <v>12</v>
      </c>
      <c r="E22" s="1">
        <f>CORREL(A2:A20,B2:B20)</f>
        <v>0.54384628589334516</v>
      </c>
    </row>
    <row r="23" spans="1:14" x14ac:dyDescent="0.25">
      <c r="A23" s="1">
        <f>_xlfn.COVARIANCE.P(A2:A20,B2:B20)</f>
        <v>7.9960664819944567</v>
      </c>
      <c r="B23" s="1"/>
    </row>
    <row r="25" spans="1:14" x14ac:dyDescent="0.25">
      <c r="A25" s="1" t="s">
        <v>13</v>
      </c>
    </row>
    <row r="26" spans="1:14" x14ac:dyDescent="0.25">
      <c r="A26" s="1">
        <f>_xlfn.Z.TEST(A2:A20,6,_xlfn.STDEV.S(A2:A20))</f>
        <v>6.2621804302848728E-13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2026-06-30T05:12:00Z</dcterms:created>
  <dcterms:modified xsi:type="dcterms:W3CDTF">2026-06-30T11:17:18Z</dcterms:modified>
</cp:coreProperties>
</file>